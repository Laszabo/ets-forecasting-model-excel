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57E21A6-FC7D-4E15-80B4-8DF883ECDDB5}" xr6:coauthVersionLast="47" xr6:coauthVersionMax="47" xr10:uidLastSave="{00000000-0000-0000-0000-000000000000}"/>
  <bookViews>
    <workbookView xWindow="-108" yWindow="-108" windowWidth="23256" windowHeight="12456" activeTab="2" xr2:uid="{AC750665-12B7-47E0-9B91-B430CD3F856E}"/>
  </bookViews>
  <sheets>
    <sheet name="Fees" sheetId="1" r:id="rId1"/>
    <sheet name="Calculator" sheetId="4" r:id="rId2"/>
    <sheet name="Validation" sheetId="6" r:id="rId3"/>
  </sheets>
  <definedNames>
    <definedName name="Helper">Fees!#REF!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/>
  <c r="M23" i="6"/>
  <c r="K23" i="6"/>
  <c r="I23" i="6"/>
  <c r="G23" i="6"/>
  <c r="M22" i="6"/>
  <c r="K22" i="6"/>
  <c r="I22" i="6"/>
  <c r="G22" i="6"/>
  <c r="M21" i="6"/>
  <c r="K21" i="6"/>
  <c r="I21" i="6"/>
  <c r="G21" i="6"/>
  <c r="M20" i="6"/>
  <c r="K20" i="6"/>
  <c r="I20" i="6"/>
  <c r="G20" i="6"/>
  <c r="M19" i="6"/>
  <c r="K19" i="6"/>
  <c r="I19" i="6"/>
  <c r="G19" i="6"/>
  <c r="M18" i="6"/>
  <c r="K18" i="6"/>
  <c r="I18" i="6"/>
  <c r="G18" i="6"/>
  <c r="M17" i="6"/>
  <c r="K17" i="6"/>
  <c r="I17" i="6"/>
  <c r="G17" i="6"/>
  <c r="M16" i="6"/>
  <c r="K16" i="6"/>
  <c r="I16" i="6"/>
  <c r="G16" i="6"/>
  <c r="M15" i="6"/>
  <c r="K15" i="6"/>
  <c r="I15" i="6"/>
  <c r="G15" i="6"/>
  <c r="M14" i="6"/>
  <c r="K14" i="6"/>
  <c r="I14" i="6"/>
  <c r="G14" i="6"/>
  <c r="M13" i="6"/>
  <c r="K13" i="6"/>
  <c r="I13" i="6"/>
  <c r="G13" i="6"/>
  <c r="M12" i="6"/>
  <c r="K12" i="6"/>
  <c r="I12" i="6"/>
  <c r="G12" i="6"/>
  <c r="M11" i="6"/>
  <c r="K11" i="6"/>
  <c r="I11" i="6"/>
  <c r="G11" i="6"/>
  <c r="M10" i="6"/>
  <c r="K10" i="6"/>
  <c r="I10" i="6"/>
  <c r="G10" i="6"/>
  <c r="M9" i="6"/>
  <c r="K9" i="6"/>
  <c r="I9" i="6"/>
  <c r="G9" i="6"/>
  <c r="M8" i="6"/>
  <c r="K8" i="6"/>
  <c r="I8" i="6"/>
  <c r="G8" i="6"/>
  <c r="M7" i="6"/>
  <c r="K7" i="6"/>
  <c r="I7" i="6"/>
  <c r="G7" i="6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2" i="4"/>
  <c r="D3" i="4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G2" i="4" l="1"/>
  <c r="K24" i="6"/>
  <c r="G24" i="6"/>
  <c r="M24" i="6"/>
  <c r="I24" i="6"/>
  <c r="E5" i="4"/>
  <c r="E28" i="4"/>
  <c r="E16" i="4"/>
  <c r="E4" i="4"/>
  <c r="E17" i="4"/>
  <c r="E27" i="4"/>
  <c r="E15" i="4"/>
  <c r="E3" i="4"/>
  <c r="E29" i="4"/>
  <c r="E26" i="4"/>
  <c r="E14" i="4"/>
  <c r="E36" i="4"/>
  <c r="E24" i="4"/>
  <c r="E12" i="4"/>
  <c r="E18" i="4"/>
  <c r="E37" i="4"/>
  <c r="E35" i="4"/>
  <c r="E23" i="4"/>
  <c r="E11" i="4"/>
  <c r="E6" i="4"/>
  <c r="E13" i="4"/>
  <c r="E34" i="4"/>
  <c r="E22" i="4"/>
  <c r="E10" i="4"/>
  <c r="E30" i="4"/>
  <c r="E25" i="4"/>
  <c r="E33" i="4"/>
  <c r="E21" i="4"/>
  <c r="E9" i="4"/>
  <c r="E32" i="4"/>
  <c r="E20" i="4"/>
  <c r="E8" i="4"/>
  <c r="E31" i="4"/>
  <c r="E19" i="4"/>
  <c r="E7" i="4"/>
  <c r="C1" i="1"/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F5" i="4"/>
  <c r="G5" i="4" s="1"/>
  <c r="F17" i="4"/>
  <c r="G17" i="4" s="1"/>
  <c r="F8" i="4"/>
  <c r="G8" i="4" s="1"/>
  <c r="F10" i="4"/>
  <c r="G10" i="4" s="1"/>
  <c r="F22" i="4"/>
  <c r="G22" i="4" s="1"/>
  <c r="F12" i="4"/>
  <c r="G12" i="4" s="1"/>
  <c r="F4" i="4"/>
  <c r="G4" i="4" s="1"/>
  <c r="F14" i="4"/>
  <c r="F3" i="4"/>
  <c r="G3" i="4" s="1"/>
  <c r="F57" i="4" l="1"/>
  <c r="G57" i="4" s="1"/>
  <c r="F68" i="4"/>
  <c r="G68" i="4" s="1"/>
  <c r="F64" i="4"/>
  <c r="G64" i="4" s="1"/>
  <c r="F45" i="4"/>
  <c r="G45" i="4" s="1"/>
  <c r="F37" i="4"/>
  <c r="G37" i="4" s="1"/>
  <c r="F42" i="4"/>
  <c r="G42" i="4" s="1"/>
  <c r="F28" i="4"/>
  <c r="G28" i="4" s="1"/>
  <c r="F63" i="4"/>
  <c r="G63" i="4" s="1"/>
  <c r="F13" i="4"/>
  <c r="G13" i="4" s="1"/>
  <c r="F23" i="4"/>
  <c r="G23" i="4" s="1"/>
  <c r="F21" i="4"/>
  <c r="G21" i="4" s="1"/>
  <c r="F67" i="4"/>
  <c r="G67" i="4" s="1"/>
  <c r="F30" i="4"/>
  <c r="G30" i="4" s="1"/>
  <c r="F85" i="4"/>
  <c r="G85" i="4" s="1"/>
  <c r="F80" i="4"/>
  <c r="G80" i="4" s="1"/>
  <c r="F26" i="4"/>
  <c r="G26" i="4" s="1"/>
  <c r="F78" i="4"/>
  <c r="G78" i="4" s="1"/>
  <c r="F59" i="4"/>
  <c r="G59" i="4" s="1"/>
  <c r="F66" i="4"/>
  <c r="G66" i="4" s="1"/>
  <c r="F49" i="4"/>
  <c r="G49" i="4" s="1"/>
  <c r="F44" i="4"/>
  <c r="G44" i="4" s="1"/>
  <c r="F16" i="4"/>
  <c r="G16" i="4" s="1"/>
  <c r="F33" i="4"/>
  <c r="G33" i="4" s="1"/>
  <c r="F75" i="4"/>
  <c r="G75" i="4" s="1"/>
  <c r="F15" i="4"/>
  <c r="G15" i="4" s="1"/>
  <c r="F84" i="4"/>
  <c r="G84" i="4" s="1"/>
  <c r="F11" i="4"/>
  <c r="G11" i="4" s="1"/>
  <c r="F9" i="4"/>
  <c r="G9" i="4" s="1"/>
  <c r="F55" i="4"/>
  <c r="G55" i="4" s="1"/>
  <c r="F18" i="4"/>
  <c r="G18" i="4" s="1"/>
  <c r="F61" i="4"/>
  <c r="G61" i="4" s="1"/>
  <c r="F47" i="4"/>
  <c r="G47" i="4" s="1"/>
  <c r="F54" i="4"/>
  <c r="G54" i="4" s="1"/>
  <c r="F52" i="4"/>
  <c r="G52" i="4" s="1"/>
  <c r="F35" i="4"/>
  <c r="G35" i="4" s="1"/>
  <c r="F79" i="4"/>
  <c r="G79" i="4" s="1"/>
  <c r="F39" i="4"/>
  <c r="G39" i="4" s="1"/>
  <c r="F25" i="4"/>
  <c r="G25" i="4" s="1"/>
  <c r="F72" i="4"/>
  <c r="G72" i="4" s="1"/>
  <c r="F82" i="4"/>
  <c r="G82" i="4" s="1"/>
  <c r="F71" i="4"/>
  <c r="G71" i="4" s="1"/>
  <c r="F43" i="4"/>
  <c r="G43" i="4" s="1"/>
  <c r="F6" i="4"/>
  <c r="I18" i="4" s="1"/>
  <c r="F73" i="4"/>
  <c r="G73" i="4" s="1"/>
  <c r="F70" i="4"/>
  <c r="G70" i="4" s="1"/>
  <c r="F56" i="4"/>
  <c r="G56" i="4" s="1"/>
  <c r="F31" i="4"/>
  <c r="G31" i="4" s="1"/>
  <c r="F77" i="4"/>
  <c r="G77" i="4" s="1"/>
  <c r="F38" i="4"/>
  <c r="G38" i="4" s="1"/>
  <c r="F76" i="4"/>
  <c r="G76" i="4" s="1"/>
  <c r="F40" i="4"/>
  <c r="G40" i="4" s="1"/>
  <c r="F74" i="4"/>
  <c r="F19" i="4"/>
  <c r="G19" i="4" s="1"/>
  <c r="F60" i="4"/>
  <c r="G60" i="4" s="1"/>
  <c r="F48" i="4"/>
  <c r="G48" i="4" s="1"/>
  <c r="F58" i="4"/>
  <c r="G58" i="4" s="1"/>
  <c r="F32" i="4"/>
  <c r="G32" i="4" s="1"/>
  <c r="F65" i="4"/>
  <c r="G65" i="4" s="1"/>
  <c r="F62" i="4"/>
  <c r="G62" i="4" s="1"/>
  <c r="F51" i="4"/>
  <c r="G51" i="4" s="1"/>
  <c r="F36" i="4"/>
  <c r="G36" i="4" s="1"/>
  <c r="F46" i="4"/>
  <c r="G46" i="4" s="1"/>
  <c r="F20" i="4"/>
  <c r="G20" i="4" s="1"/>
  <c r="F7" i="4"/>
  <c r="G7" i="4" s="1"/>
  <c r="F53" i="4"/>
  <c r="G53" i="4" s="1"/>
  <c r="F50" i="4"/>
  <c r="F27" i="4"/>
  <c r="G27" i="4" s="1"/>
  <c r="F24" i="4"/>
  <c r="G24" i="4" s="1"/>
  <c r="F34" i="4"/>
  <c r="G34" i="4" s="1"/>
  <c r="F81" i="4"/>
  <c r="G81" i="4" s="1"/>
  <c r="F41" i="4"/>
  <c r="G41" i="4" s="1"/>
  <c r="F29" i="4"/>
  <c r="G29" i="4" s="1"/>
  <c r="F69" i="4"/>
  <c r="G69" i="4" s="1"/>
  <c r="F83" i="4"/>
  <c r="G83" i="4" s="1"/>
  <c r="G50" i="4"/>
  <c r="G14" i="4"/>
  <c r="I9" i="4" a="1"/>
  <c r="I4" i="4" a="1"/>
  <c r="I10" i="4" a="1"/>
  <c r="I11" i="4" a="1"/>
  <c r="I5" i="4" a="1"/>
  <c r="I12" i="4" a="1"/>
  <c r="I6" i="4" a="1"/>
  <c r="I13" i="4" a="1"/>
  <c r="I7" i="4" a="1"/>
  <c r="I3" i="4" a="1"/>
  <c r="I8" i="4" a="1"/>
  <c r="I2" i="4" a="1"/>
  <c r="I34" i="4" l="1"/>
  <c r="I24" i="4"/>
  <c r="I31" i="4"/>
  <c r="I2" i="4"/>
  <c r="I8" i="4"/>
  <c r="J8" i="4" s="1"/>
  <c r="I3" i="4"/>
  <c r="I7" i="4"/>
  <c r="I13" i="4"/>
  <c r="J13" i="4" s="1"/>
  <c r="I6" i="4"/>
  <c r="J6" i="4" s="1"/>
  <c r="I12" i="4"/>
  <c r="I5" i="4"/>
  <c r="J5" i="4" s="1"/>
  <c r="I11" i="4"/>
  <c r="J11" i="4" s="1"/>
  <c r="I10" i="4"/>
  <c r="J10" i="4" s="1"/>
  <c r="I4" i="4"/>
  <c r="I9" i="4"/>
  <c r="J9" i="4" s="1"/>
  <c r="I35" i="4"/>
  <c r="A8" i="4"/>
  <c r="B25" i="4" s="1"/>
  <c r="G74" i="4"/>
  <c r="I21" i="4"/>
  <c r="I30" i="4"/>
  <c r="I29" i="4"/>
  <c r="A17" i="4" a="1"/>
  <c r="A17" i="4" s="1"/>
  <c r="I32" i="4"/>
  <c r="I33" i="4"/>
  <c r="I23" i="4"/>
  <c r="I22" i="4"/>
  <c r="J22" i="4" s="1"/>
  <c r="G6" i="4"/>
  <c r="I20" i="4"/>
  <c r="J20" i="4" s="1"/>
  <c r="I19" i="4"/>
  <c r="J19" i="4" s="1"/>
  <c r="J3" i="4"/>
  <c r="J7" i="4"/>
  <c r="J12" i="4"/>
  <c r="J2" i="4"/>
  <c r="J4" i="4"/>
  <c r="J24" i="4" l="1"/>
  <c r="J33" i="4"/>
  <c r="J31" i="4"/>
  <c r="J35" i="4"/>
  <c r="J23" i="4"/>
  <c r="J34" i="4"/>
  <c r="I25" i="4"/>
  <c r="J32" i="4"/>
  <c r="J21" i="4"/>
  <c r="A10" i="4"/>
  <c r="J25" i="4" l="1"/>
  <c r="A12" i="4" s="1"/>
  <c r="B23" i="4" s="1"/>
  <c r="A14" i="4"/>
  <c r="B18" i="4"/>
  <c r="B2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tc={0772E9A5-55B9-430C-B28F-7EC1CFBAF00C}</author>
    <author>tc={98F9291A-AE85-464C-9535-50E594A14EF7}</author>
    <author>tc={9D6AC6E7-26C2-4D98-9BF1-93EB5769331F}</author>
    <author>tc={CD583684-3961-4A20-B70A-EE5C4BA2468F}</author>
    <author>tc={3AC7CEF0-DF87-46D6-9AF4-BA74B88AFA36}</author>
  </authors>
  <commentList>
    <comment ref="A12" authorId="0" shapeId="0" xr:uid="{0772E9A5-55B9-430C-B28F-7EC1CFBAF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Does not capture trend
</t>
      </text>
    </comment>
    <comment ref="A14" authorId="1" shapeId="0" xr:uid="{98F9291A-AE85-464C-9535-50E594A14EF7}">
      <text>
        <t>[Threaded comment]
Your version of Excel allows you to read this threaded comment; however, any edits to it will get removed if the file is opened in a newer version of Excel. Learn more: https://go.microsoft.com/fwlink/?linkid=870924
Comment:
    simple rolling average might be too slow to react to structural step-downs or regulatory changes</t>
      </text>
    </comment>
    <comment ref="A15" authorId="2" shapeId="0" xr:uid="{9D6AC6E7-26C2-4D98-9BF1-93EB576933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average, the fee increases (or decreases) by X per month </t>
      </text>
    </comment>
    <comment ref="A17" authorId="3" shapeId="0" xr:uid="{CD583684-3961-4A20-B70A-EE5C4BA246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Shows increasing trend….reliable, but not usable
Lépcsőzetes áremelkedést nem tudja kezelni. Trend figyelésnek viszont jó!
</t>
      </text>
    </comment>
    <comment ref="B17" authorId="4" shapeId="0" xr:uid="{3AC7CEF0-DF87-46D6-9AF4-BA74B88AFA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fee does not follow a clear linear trend. Not Suitable in This Case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tc={6F44657A-D9D6-4B55-9670-44BFB0623358}</author>
    <author>tc={BFCA1C57-7D32-4103-B246-2EED7F6F9D1B}</author>
    <author>tc={F10B2DA4-7AA4-487B-A5FD-8ADCAC32D44A}</author>
  </authors>
  <commentList>
    <comment ref="F5" authorId="0" shapeId="0" xr:uid="{6F44657A-D9D6-4B55-9670-44BFB0623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Exponential Smoothing Forecast (ETS) </t>
      </text>
    </comment>
    <comment ref="I5" authorId="1" shapeId="0" xr:uid="{BFCA1C57-7D32-4103-B246-2EED7F6F9D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érzékenyebb az egyedi kiugrásokra </t>
      </text>
    </comment>
    <comment ref="K5" authorId="2" shapeId="0" xr:uid="{F10B2DA4-7AA4-487B-A5FD-8ADCAC32D4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hároméves átlag inkább a múltbeli stabilitásra épít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<sst xmlns="http://schemas.openxmlformats.org/spreadsheetml/2006/main" count="177" uniqueCount="142">
  <si>
    <t>-</t>
  </si>
  <si>
    <t>1. A villamos energia rendszert vételezésre használó rendszerhasználó esetében,</t>
  </si>
  <si>
    <t>a) amennyiben az az átviteli hálózatra – közvetlenül vagy közvetve – 132 kV-nál nagyobb feszültségszinten csatlakozik 6,8 Ft/kWh</t>
  </si>
  <si>
    <t>b) amennyiben az az átviteli hálózatra – közvetlenül vagy közvetve – 132 kV-nál nem nagyobb feszültségszinten csatlakozik 8,68 Ft/kWh</t>
  </si>
  <si>
    <t>2. Az átviteli hálózatra csatlakozó elosztó esetében 6,8 Ft/kWh</t>
  </si>
  <si>
    <t xml:space="preserve">Az elosztók által 2025. január 1-től alkalmazható rendszerhasználati díjak </t>
  </si>
  <si>
    <t>Az elosztó hálózatra közvetlenül vagy közvetve csatlakozó rendszerhasználó esetében alkalmazandó átviteli forgalmi díj: 4,84 Ft/kWh</t>
  </si>
  <si>
    <t>Month/Year</t>
  </si>
  <si>
    <t>Historical Fee (lookup)</t>
  </si>
  <si>
    <t>Forecast (calculated)</t>
  </si>
  <si>
    <t>Manual Adjustment (%)</t>
  </si>
  <si>
    <t>Forecast Month/Year</t>
  </si>
  <si>
    <t>Adjusted Final Forecasted Fee</t>
  </si>
  <si>
    <t>Average Fee of Previous Year 2025</t>
  </si>
  <si>
    <t>Average Forecasted Fee</t>
  </si>
  <si>
    <t>Simple Year-over-Year (YoY) Growth Rate Projection</t>
  </si>
  <si>
    <t>average year-over-year percentage change</t>
  </si>
  <si>
    <t>Year</t>
  </si>
  <si>
    <t>Average</t>
  </si>
  <si>
    <t>YoY Average Growth Rate</t>
  </si>
  <si>
    <t>3 yer Rolling Average</t>
  </si>
  <si>
    <t>MA(3)</t>
  </si>
  <si>
    <t>Weighted 3-year Rolling Average</t>
  </si>
  <si>
    <t>t</t>
  </si>
  <si>
    <t>Linear Trend (Regression)</t>
  </si>
  <si>
    <t>Slope</t>
  </si>
  <si>
    <t>Intercept</t>
  </si>
  <si>
    <t>Projected Fee Based on YOY change</t>
  </si>
  <si>
    <t>Difference between Forecasted and Average fee of previous year</t>
  </si>
  <si>
    <t>Include?</t>
  </si>
  <si>
    <t>Advice: Choose the higher end value where applicable!</t>
  </si>
  <si>
    <t>Fee Name - Choose-- &gt;</t>
  </si>
  <si>
    <t>Fees</t>
  </si>
  <si>
    <t>ETS Forecasted for 2025</t>
  </si>
  <si>
    <t>Diff %</t>
  </si>
  <si>
    <t>Average YOY fee</t>
  </si>
  <si>
    <t>Weighted 3-year Average</t>
  </si>
  <si>
    <t>Average of Previous Year</t>
  </si>
  <si>
    <t>Average Diff%</t>
  </si>
  <si>
    <t>Actual 2025 fee</t>
  </si>
  <si>
    <t xml:space="preserve">Distribution fixed fee NAF_Distribution fixed fee_NAF  </t>
  </si>
  <si>
    <t xml:space="preserve">KÁT and Premium financial instrument NAF_KÁT and Premium financial instrument_NAF  </t>
  </si>
  <si>
    <t xml:space="preserve">Distribution fixed fee MV_Distribution fixed fee_MV  </t>
  </si>
  <si>
    <t xml:space="preserve">Distribution fixed fee MV/LV1_Distribution fixed fee_MV/LV1  </t>
  </si>
  <si>
    <t xml:space="preserve">Distribution fixed fee MV/LV3_Distribution fixed fee_MV/LV3  </t>
  </si>
  <si>
    <t xml:space="preserve">Distribution capacity fee NAF_Distribution capacity fee_NAF  </t>
  </si>
  <si>
    <t xml:space="preserve">Distribution capacity fee NAF/MV_Distribution capacity fee_NAF/MV  </t>
  </si>
  <si>
    <t xml:space="preserve">Distribution capacity fee MV_Distribution capacity fee_MV  </t>
  </si>
  <si>
    <t xml:space="preserve">Distribution capacity fee LV3_Distribution capacity fee_LV3  </t>
  </si>
  <si>
    <t xml:space="preserve">Distribution usage fee NAF_Distribution usage fee_NAF  </t>
  </si>
  <si>
    <t xml:space="preserve">Distribution usage fee NAF/MV_Distribution usage fee_NAF/MV  </t>
  </si>
  <si>
    <t xml:space="preserve">Distribution usage fee MV_Distribution usage fee_MV  </t>
  </si>
  <si>
    <t xml:space="preserve">Distribution usage fee MV/LV1_Distribution usage fee_MV/LV1  </t>
  </si>
  <si>
    <t xml:space="preserve">Distribution usage fee MV/LV3_Distribution usage fee_MV/LV3  </t>
  </si>
  <si>
    <t xml:space="preserve">Distribution usage fee LV1_Distribution usage fee_LV1  </t>
  </si>
  <si>
    <t xml:space="preserve">Distribution usage fee LV2_Distribution usage fee_LV2  </t>
  </si>
  <si>
    <t xml:space="preserve">Distribution usage fee LV3_Distribution usage fee_LV3  </t>
  </si>
  <si>
    <t xml:space="preserve">KÁT and Premium financial instrument NAF/MV_KÁT and Premium financial instrument_NAF/MV  </t>
  </si>
  <si>
    <t xml:space="preserve">KÁT and Premium financial instrument MV_KÁT and Premium financial instrument_MV  </t>
  </si>
  <si>
    <t xml:space="preserve">KÁT and Premium financial instrument MV/LV1_KÁT and Premium financial instrument_MV/LV1  </t>
  </si>
  <si>
    <t xml:space="preserve">KÁT and Premium financial instrument MV/LV3_KÁT and Premium financial instrument_MV/LV3  </t>
  </si>
  <si>
    <t xml:space="preserve">KÁT and Premium financial instrument LV1_KÁT and Premium financial instrument_LV1  </t>
  </si>
  <si>
    <t xml:space="preserve">KÁT and Premium financial instrument LV2_KÁT and Premium financial instrument_LV2  </t>
  </si>
  <si>
    <t xml:space="preserve">KÁT and Premium financial instrument LV3_KÁT and Premium financial instrument_LV3  </t>
  </si>
  <si>
    <t xml:space="preserve">Distribution fixed fee NAF/MV_Distribution fixed fee_NAF/MV  </t>
  </si>
  <si>
    <t xml:space="preserve">Distribution fixed fee LV1_Distribution fixed fee_LV1  </t>
  </si>
  <si>
    <t xml:space="preserve">Distribution fixed fee LV2_Distribution fixed fee_LV2  </t>
  </si>
  <si>
    <t xml:space="preserve">Distribution fixed fee LV3_Distribution fixed fee_LV3  </t>
  </si>
  <si>
    <t xml:space="preserve">Distribution capacity fee MV/LV1_Distribution capacity fee_MV/LV1  </t>
  </si>
  <si>
    <t xml:space="preserve">Distribution capacity fee MV/LV3_Distribution capacity fee_MV/LV3  </t>
  </si>
  <si>
    <t xml:space="preserve">Distribution capacity fee LV1_Distribution capacity fee_LV1  </t>
  </si>
  <si>
    <t xml:space="preserve">Distribution capacity fee LV2_Distribution capacity fee_LV2  </t>
  </si>
  <si>
    <t xml:space="preserve">Distribution reactive energy fee NAF_Distribution reactive energy fee_NAF  </t>
  </si>
  <si>
    <t xml:space="preserve">Distribution reactive energy fee NAF/MV_Distribution reactive energy fee_NAF/MV  </t>
  </si>
  <si>
    <t xml:space="preserve">Distribution reactive energy fee MV_Distribution reactive energy fee_MV  </t>
  </si>
  <si>
    <t xml:space="preserve">Distribution reactive energy fee MV/LV1_Distribution reactive energy fee_MV/LV1  </t>
  </si>
  <si>
    <t xml:space="preserve">Distribution reactive energy fee MV/LV3_Distribution reactive energy fee_MV/LV3  </t>
  </si>
  <si>
    <t xml:space="preserve">Distribution reactive energy fee LV1_Distribution reactive energy fee_LV1  </t>
  </si>
  <si>
    <t xml:space="preserve">Distribution reactive energy fee LV2_Distribution reactive energy fee_LV2  </t>
  </si>
  <si>
    <t xml:space="preserve">Distribution reactive energy fee LV3_Distribution reactive energy fee_LV3  </t>
  </si>
  <si>
    <t xml:space="preserve">Distribution loss fee NAF_Distribution loss fee_NAF  </t>
  </si>
  <si>
    <t xml:space="preserve">Distribution loss fee NAF/MV_Distribution loss fee_NAF/MV  </t>
  </si>
  <si>
    <t xml:space="preserve">Distribution loss fee MV_Distribution loss fee_MV  </t>
  </si>
  <si>
    <t xml:space="preserve">Distribution loss fee MV/LV1_Distribution loss fee_MV/LV1  </t>
  </si>
  <si>
    <t xml:space="preserve">Distribution loss fee MV/LV3_Distribution loss fee_MV/LV3  </t>
  </si>
  <si>
    <t xml:space="preserve">Distribution loss fee LV1_Distribution loss fee_LV1  </t>
  </si>
  <si>
    <t xml:space="preserve">Distribution loss fee LV2_Distribution loss fee_LV2  </t>
  </si>
  <si>
    <t xml:space="preserve">Distribution loss fee LV3_Distribution loss fee_LV3  </t>
  </si>
  <si>
    <t xml:space="preserve">Distribution balancing fee NAF_Distribution balancing fee_NAF  </t>
  </si>
  <si>
    <t xml:space="preserve">Distribution balancing fee NAF/MV_Distribution balancing fee_NAF/MV  </t>
  </si>
  <si>
    <t xml:space="preserve">Distribution balancing fee MV_Distribution balancing fee_MV  </t>
  </si>
  <si>
    <t xml:space="preserve">Distribution balancing fee MV/LV1_Distribution balancing fee_MV/LV1  </t>
  </si>
  <si>
    <t xml:space="preserve">Distribution balancing fee MV/LV3_Distribution balancing fee_MV/LV3  </t>
  </si>
  <si>
    <t xml:space="preserve">Distribution balancing fee LV1_Distribution balancing fee_LV1  </t>
  </si>
  <si>
    <t xml:space="preserve">Distribution balancing fee LV2_Distribution balancing fee_LV2  </t>
  </si>
  <si>
    <t xml:space="preserve">Distribution balancing fee LV3_Distribution balancing fee_LV3  </t>
  </si>
  <si>
    <t xml:space="preserve">Electricity excise tax NAF_Electricity excise tax_NAF  </t>
  </si>
  <si>
    <t xml:space="preserve">Electricity excise tax NAF/MV_Electricity excise tax_NAF/MV  </t>
  </si>
  <si>
    <t xml:space="preserve">Electricity excise tax MV_Electricity excise tax_MV  </t>
  </si>
  <si>
    <t xml:space="preserve">Electricity excise tax MV/LV1_Electricity excise tax_MV/LV1  </t>
  </si>
  <si>
    <t xml:space="preserve">Electricity excise tax MV/LV3_Electricity excise tax_MV/LV3  </t>
  </si>
  <si>
    <t xml:space="preserve">Electricity excise tax LV1_Electricity excise tax_LV1  </t>
  </si>
  <si>
    <t xml:space="preserve">Electricity excise tax LV2_Electricity excise tax_LV2  </t>
  </si>
  <si>
    <t xml:space="preserve">Electricity excise tax LV3_Electricity excise tax_LV3  </t>
  </si>
  <si>
    <t xml:space="preserve">Supply support NAF_Supply support_NAF  </t>
  </si>
  <si>
    <t xml:space="preserve">Supply support NAF/MV_Supply support_NAF/MV  </t>
  </si>
  <si>
    <t xml:space="preserve">Supply support MV_Supply support_MV  </t>
  </si>
  <si>
    <t xml:space="preserve">Supply support MV/LV1_Supply support_MV/LV1  </t>
  </si>
  <si>
    <t xml:space="preserve">Supply support MV/LV3_Supply support_MV/LV3  </t>
  </si>
  <si>
    <t xml:space="preserve">Supply support LV1_Supply support_LV1  </t>
  </si>
  <si>
    <t xml:space="preserve">Supply support LV2_Supply support_LV2  </t>
  </si>
  <si>
    <t xml:space="preserve">Supply support LV3_Supply support_LV3  </t>
  </si>
  <si>
    <t xml:space="preserve">Coal industry structural transformation support NAF_Coal industry structural transformation support_NAF  </t>
  </si>
  <si>
    <t xml:space="preserve">Coal industry structural transformation support NAF/MV_Coal industry structural transformation support_NAF/MV  </t>
  </si>
  <si>
    <t xml:space="preserve">Coal industry structural transformation support MV_Coal industry structural transformation support_MV  </t>
  </si>
  <si>
    <t xml:space="preserve">Coal industry structural transformation support MV/LV1_Coal industry structural transformation support_MV/LV1  </t>
  </si>
  <si>
    <t xml:space="preserve">Coal industry structural transformation support MV/LV3_Coal industry structural transformation support_MV/LV3  </t>
  </si>
  <si>
    <t xml:space="preserve">Coal industry structural transformation support LV1_Coal industry structural transformation support_LV1  </t>
  </si>
  <si>
    <t xml:space="preserve">Coal industry structural transformation support LV2_Coal industry structural transformation support_LV2  </t>
  </si>
  <si>
    <t xml:space="preserve">Coal industry structural transformation support LV3_Coal industry structural transformation support_LV3  </t>
  </si>
  <si>
    <t xml:space="preserve">Connected generation transformation support NAF_Connected generation transformation support_NAF  </t>
  </si>
  <si>
    <t xml:space="preserve">Connected generation transformation support NAF/MV_Connected generation transformation support_NAF/MV  </t>
  </si>
  <si>
    <t xml:space="preserve">Connected generation transformation support MV_Connected generation transformation support_MV  </t>
  </si>
  <si>
    <t xml:space="preserve">Connected generation transformation support MV/LV1_Connected generation transformation support_MV/LV1  </t>
  </si>
  <si>
    <t xml:space="preserve">Connected generation transformation support MV/LV3_Connected generation transformation support_MV/LV3  </t>
  </si>
  <si>
    <t xml:space="preserve">Connected generation transformation support LV1_Connected generation transformation support_LV1  </t>
  </si>
  <si>
    <t xml:space="preserve">Connected generation transformation support LV2_Connected generation transformation support_LV2  </t>
  </si>
  <si>
    <t xml:space="preserve">Connected generation transformation support LV3_Connected generation transformation support_LV3  </t>
  </si>
  <si>
    <t xml:space="preserve">Allowed inductive NAF_Allowed inductive_NAF  </t>
  </si>
  <si>
    <t xml:space="preserve">Allowed inductive NAF/MV_Allowed inductive_NAF/MV  </t>
  </si>
  <si>
    <t xml:space="preserve">Allowed inductive MV_Allowed inductive_MV  </t>
  </si>
  <si>
    <t xml:space="preserve">Allowed inductive MV/LV1_Allowed inductive_MV/LV1  </t>
  </si>
  <si>
    <t xml:space="preserve">Allowed inductive MV/LV3_Allowed inductive_MV/LV3  </t>
  </si>
  <si>
    <t xml:space="preserve">Allowed inductive LV1_Allowed inductive_LV1  </t>
  </si>
  <si>
    <t xml:space="preserve">Allowed inductive LV2_Allowed inductive_LV2  </t>
  </si>
  <si>
    <t xml:space="preserve">Allowed inductive LV3_Allowed inductive_LV3  </t>
  </si>
  <si>
    <t xml:space="preserve">Transmission fee under 132kV_Transmission fee_132kV and below  </t>
  </si>
  <si>
    <t xml:space="preserve">Transmission fee above 132kV_Transmission fee_above 132kV  </t>
  </si>
  <si>
    <t>ETS-Based Time Series Forecasting Model</t>
  </si>
  <si>
    <t xml:space="preserve">Stable Regulatory Environment  </t>
  </si>
  <si>
    <t xml:space="preserve">Uncertainty or Change Expected  </t>
  </si>
  <si>
    <t xml:space="preserve">Certain Regulatory Decision Expected w/h Manual Adjustment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</si>
</sst>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.000000_-;\-* #,##0.000000_-;_-* &quot;-&quot;??_-;_-@_-"/>
    <numFmt numFmtId="165" formatCode="_-* #,##0_-;\-* #,##0_-;_-* &quot;-&quot;??_-;_-@_-"/>
    <numFmt numFmtId="166" formatCode="0.00000"/>
    <numFmt numFmtId="167" formatCode="0.000000"/>
    <numFmt numFmtId="168" formatCode="0.00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3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3"/>
      <color theme="1"/>
      <name val="Calibri"/>
      <family val="2"/>
      <charset val="238"/>
      <scheme val="minor"/>
    </font>
    <font>
      <b/>
      <sz val="17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6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9" fontId="0" fillId="0" borderId="0" xfId="0" applyNumberFormat="1"/>
    <xf numFmtId="164" fontId="0" fillId="0" borderId="0" xfId="1" applyNumberFormat="1" applyFont="1" applyFill="1"/>
    <xf numFmtId="43" fontId="0" fillId="0" borderId="0" xfId="1" applyFont="1"/>
    <xf numFmtId="43" fontId="0" fillId="0" borderId="0" xfId="1" applyFont="1" applyFill="1"/>
    <xf numFmtId="2" fontId="0" fillId="0" borderId="0" xfId="4" applyNumberFormat="1" applyFont="1" applyFill="1"/>
    <xf numFmtId="2" fontId="0" fillId="0" borderId="0" xfId="1" applyNumberFormat="1" applyFont="1"/>
    <xf numFmtId="165" fontId="0" fillId="0" borderId="0" xfId="1" applyNumberFormat="1" applyFont="1"/>
    <xf numFmtId="2" fontId="0" fillId="3" borderId="0" xfId="0" applyNumberFormat="1" applyFill="1"/>
    <xf numFmtId="165" fontId="0" fillId="2" borderId="0" xfId="1" applyNumberFormat="1" applyFont="1" applyFill="1"/>
    <xf numFmtId="0" fontId="0" fillId="2" borderId="0" xfId="0" applyFill="1"/>
    <xf numFmtId="3" fontId="0" fillId="2" borderId="0" xfId="0" applyNumberFormat="1" applyFill="1"/>
    <xf numFmtId="9" fontId="0" fillId="2" borderId="0" xfId="0" applyNumberFormat="1" applyFill="1"/>
    <xf numFmtId="165" fontId="0" fillId="0" borderId="0" xfId="1" applyNumberFormat="1" applyFont="1" applyFill="1"/>
    <xf numFmtId="2" fontId="0" fillId="0" borderId="0" xfId="1" applyNumberFormat="1" applyFont="1" applyFill="1"/>
    <xf numFmtId="14" fontId="0" fillId="2" borderId="0" xfId="0" applyNumberFormat="1" applyFill="1"/>
    <xf numFmtId="0" fontId="4" fillId="0" borderId="0" xfId="0" applyFont="1"/>
    <xf numFmtId="14" fontId="0" fillId="5" borderId="0" xfId="0" applyNumberFormat="1" applyFill="1"/>
    <xf numFmtId="0" fontId="0" fillId="5" borderId="0" xfId="0" applyFill="1"/>
    <xf numFmtId="0" fontId="4" fillId="0" borderId="0" xfId="0" applyFont="1" applyAlignment="1">
      <alignment horizontal="center"/>
    </xf>
    <xf numFmtId="10" fontId="0" fillId="6" borderId="0" xfId="0" applyNumberFormat="1" applyFill="1"/>
    <xf numFmtId="0" fontId="4" fillId="0" borderId="0" xfId="0" applyFont="1" applyAlignment="1">
      <alignment horizontal="left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1" fontId="0" fillId="5" borderId="0" xfId="0" applyNumberFormat="1" applyFill="1"/>
    <xf numFmtId="1" fontId="0" fillId="0" borderId="0" xfId="0" applyNumberForma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0" fillId="4" borderId="4" xfId="0" applyNumberFormat="1" applyFill="1" applyBorder="1"/>
    <xf numFmtId="9" fontId="0" fillId="0" borderId="5" xfId="5" applyFont="1" applyBorder="1"/>
    <xf numFmtId="0" fontId="4" fillId="0" borderId="3" xfId="0" applyFont="1" applyBorder="1"/>
    <xf numFmtId="0" fontId="4" fillId="7" borderId="1" xfId="0" applyFont="1" applyFill="1" applyBorder="1"/>
    <xf numFmtId="0" fontId="7" fillId="0" borderId="6" xfId="0" applyFont="1" applyBorder="1"/>
    <xf numFmtId="0" fontId="6" fillId="0" borderId="8" xfId="0" applyFont="1" applyBorder="1"/>
    <xf numFmtId="0" fontId="4" fillId="0" borderId="9" xfId="0" applyFont="1" applyBorder="1"/>
    <xf numFmtId="9" fontId="0" fillId="0" borderId="10" xfId="5" applyFont="1" applyBorder="1"/>
    <xf numFmtId="1" fontId="0" fillId="4" borderId="6" xfId="0" applyNumberFormat="1" applyFill="1" applyBorder="1"/>
    <xf numFmtId="0" fontId="4" fillId="0" borderId="11" xfId="0" applyFont="1" applyBorder="1"/>
    <xf numFmtId="9" fontId="0" fillId="0" borderId="5" xfId="5" applyFont="1" applyBorder="1" applyAlignment="1"/>
    <xf numFmtId="0" fontId="12" fillId="4" borderId="0" xfId="0" applyFont="1" applyFill="1"/>
    <xf numFmtId="2" fontId="12" fillId="8" borderId="0" xfId="0" applyNumberFormat="1" applyFont="1" applyFill="1"/>
    <xf numFmtId="14" fontId="0" fillId="4" borderId="1" xfId="0" applyNumberFormat="1" applyFill="1" applyBorder="1"/>
    <xf numFmtId="0" fontId="4" fillId="4" borderId="3" xfId="0" applyFont="1" applyFill="1" applyBorder="1"/>
    <xf numFmtId="14" fontId="0" fillId="4" borderId="4" xfId="0" applyNumberFormat="1" applyFill="1" applyBorder="1"/>
    <xf numFmtId="0" fontId="4" fillId="4" borderId="5" xfId="0" applyFont="1" applyFill="1" applyBorder="1"/>
    <xf numFmtId="14" fontId="0" fillId="4" borderId="6" xfId="0" applyNumberFormat="1" applyFill="1" applyBorder="1"/>
    <xf numFmtId="0" fontId="4" fillId="4" borderId="8" xfId="0" applyFont="1" applyFill="1" applyBorder="1"/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3" fillId="7" borderId="0" xfId="0" applyFont="1" applyFill="1"/>
    <xf numFmtId="9" fontId="4" fillId="0" borderId="10" xfId="5" applyFont="1" applyBorder="1"/>
    <xf numFmtId="0" fontId="4" fillId="0" borderId="4" xfId="0" applyFont="1" applyBorder="1"/>
    <xf numFmtId="2" fontId="12" fillId="4" borderId="0" xfId="5" applyNumberFormat="1" applyFont="1" applyFill="1"/>
    <xf numFmtId="0" fontId="4" fillId="0" borderId="9" xfId="0" applyFont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10" fontId="0" fillId="12" borderId="5" xfId="5" applyNumberFormat="1" applyFont="1" applyFill="1" applyBorder="1"/>
    <xf numFmtId="0" fontId="4" fillId="0" borderId="6" xfId="0" applyFont="1" applyBorder="1"/>
    <xf numFmtId="10" fontId="0" fillId="12" borderId="8" xfId="5" applyNumberFormat="1" applyFont="1" applyFill="1" applyBorder="1"/>
    <xf numFmtId="0" fontId="15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0" fillId="4" borderId="4" xfId="0" applyFill="1" applyBorder="1"/>
    <xf numFmtId="0" fontId="0" fillId="4" borderId="6" xfId="0" applyFill="1" applyBorder="1"/>
    <xf numFmtId="0" fontId="4" fillId="10" borderId="10" xfId="0" applyFont="1" applyFill="1" applyBorder="1" applyAlignment="1">
      <alignment horizontal="center" vertical="center"/>
    </xf>
    <xf numFmtId="1" fontId="0" fillId="7" borderId="4" xfId="0" applyNumberFormat="1" applyFill="1" applyBorder="1"/>
    <xf numFmtId="10" fontId="0" fillId="10" borderId="5" xfId="5" applyNumberFormat="1" applyFont="1" applyFill="1" applyBorder="1"/>
    <xf numFmtId="0" fontId="0" fillId="7" borderId="4" xfId="0" applyFill="1" applyBorder="1"/>
    <xf numFmtId="0" fontId="0" fillId="7" borderId="6" xfId="0" applyFill="1" applyBorder="1"/>
    <xf numFmtId="10" fontId="0" fillId="10" borderId="8" xfId="5" applyNumberFormat="1" applyFont="1" applyFill="1" applyBorder="1"/>
    <xf numFmtId="0" fontId="4" fillId="7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0" fillId="5" borderId="4" xfId="0" applyNumberFormat="1" applyFill="1" applyBorder="1"/>
    <xf numFmtId="10" fontId="0" fillId="5" borderId="5" xfId="5" applyNumberFormat="1" applyFont="1" applyFill="1" applyBorder="1"/>
    <xf numFmtId="166" fontId="0" fillId="5" borderId="4" xfId="0" applyNumberFormat="1" applyFill="1" applyBorder="1"/>
    <xf numFmtId="0" fontId="0" fillId="5" borderId="4" xfId="0" applyFill="1" applyBorder="1"/>
    <xf numFmtId="0" fontId="0" fillId="5" borderId="6" xfId="0" applyFill="1" applyBorder="1"/>
    <xf numFmtId="10" fontId="0" fillId="5" borderId="8" xfId="5" applyNumberFormat="1" applyFont="1" applyFill="1" applyBorder="1"/>
    <xf numFmtId="0" fontId="4" fillId="11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0" fillId="11" borderId="4" xfId="0" applyFill="1" applyBorder="1"/>
    <xf numFmtId="10" fontId="0" fillId="11" borderId="5" xfId="5" applyNumberFormat="1" applyFont="1" applyFill="1" applyBorder="1"/>
    <xf numFmtId="167" fontId="0" fillId="11" borderId="4" xfId="0" applyNumberFormat="1" applyFill="1" applyBorder="1"/>
    <xf numFmtId="166" fontId="0" fillId="11" borderId="4" xfId="0" applyNumberFormat="1" applyFill="1" applyBorder="1"/>
    <xf numFmtId="0" fontId="0" fillId="11" borderId="6" xfId="0" applyFill="1" applyBorder="1"/>
    <xf numFmtId="10" fontId="0" fillId="11" borderId="8" xfId="5" applyNumberFormat="1" applyFont="1" applyFill="1" applyBorder="1"/>
    <xf numFmtId="0" fontId="4" fillId="12" borderId="9" xfId="0" applyFont="1" applyFill="1" applyBorder="1" applyAlignment="1">
      <alignment horizontal="center" vertical="center"/>
    </xf>
    <xf numFmtId="0" fontId="0" fillId="12" borderId="4" xfId="0" applyFill="1" applyBorder="1"/>
    <xf numFmtId="168" fontId="0" fillId="12" borderId="4" xfId="0" applyNumberFormat="1" applyFill="1" applyBorder="1"/>
    <xf numFmtId="0" fontId="0" fillId="12" borderId="6" xfId="0" applyFill="1" applyBorder="1"/>
    <xf numFmtId="10" fontId="0" fillId="4" borderId="12" xfId="0" applyNumberFormat="1" applyFill="1" applyBorder="1"/>
    <xf numFmtId="10" fontId="0" fillId="14" borderId="12" xfId="0" applyNumberFormat="1" applyFill="1" applyBorder="1"/>
    <xf numFmtId="10" fontId="0" fillId="13" borderId="12" xfId="0" applyNumberFormat="1" applyFill="1" applyBorder="1"/>
    <xf numFmtId="10" fontId="0" fillId="14" borderId="5" xfId="5" applyNumberFormat="1" applyFont="1" applyFill="1" applyBorder="1"/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14" fillId="9" borderId="0" xfId="0" applyFont="1" applyFill="1" applyAlignment="1">
      <alignment horizontal="center" vertical="center"/>
    </xf>
    <xf numFmtId="0" fontId="4" fillId="15" borderId="9" xfId="0" applyFont="1" applyFill="1" applyBorder="1" applyAlignment="1">
      <alignment horizontal="center"/>
    </xf>
    <xf numFmtId="0" fontId="4" fillId="15" borderId="10" xfId="0" applyFont="1" applyFill="1" applyBorder="1" applyAlignment="1">
      <alignment horizontal="center"/>
    </xf>
    <xf numFmtId="0" fontId="1" fillId="0" borderId="8" xfId="0" applyFont="1" applyFill="1" applyBorder="1"/>
  </cellXfs>
  <cellStyles count="6">
    <cellStyle name="Comma" xfId="1" builtinId="3"/>
    <cellStyle name="Currency" xfId="4" builtinId="4"/>
    <cellStyle name="Normal" xfId="0" builtinId="0"/>
    <cellStyle name="Normál 2" xfId="2" xr:uid="{EF3E5A58-B10A-424E-9482-D0C340783E38}"/>
    <cellStyle name="Normál 3" xfId="3" xr:uid="{BA3E1B1A-2847-4FD4-94FD-D9DFF414435E}"/>
    <cellStyle name="Per 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ászló Szabó" id="{0E4D6D16-74A8-4F75-9B69-4DC6FEE9372F}" userId="S::laszloszabo@core-energyservices.com::dbb24115-252c-4164-8cb7-c5a87cd41b9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5-03-06T09:40:46.65" personId="{0E4D6D16-74A8-4F75-9B69-4DC6FEE9372F}" id="{0772E9A5-55B9-430C-B28F-7EC1CFBAF00C}">
    <text xml:space="preserve">Does not capture trend
</text>
  </threadedComment>
  <threadedComment ref="A14" dT="2025-03-06T12:10:33.36" personId="{0E4D6D16-74A8-4F75-9B69-4DC6FEE9372F}" id="{98F9291A-AE85-464C-9535-50E594A14EF7}">
    <text>simple rolling average might be too slow to react to structural step-downs or regulatory changes</text>
  </threadedComment>
  <threadedComment ref="A15" dT="2025-03-06T10:02:43.78" personId="{0E4D6D16-74A8-4F75-9B69-4DC6FEE9372F}" id="{9D6AC6E7-26C2-4D98-9BF1-93EB5769331F}">
    <text xml:space="preserve">on average, the fee increases (or decreases) by X per month </text>
  </threadedComment>
  <threadedComment ref="A17" dT="2025-03-06T10:13:48.09" personId="{0E4D6D16-74A8-4F75-9B69-4DC6FEE9372F}" id="{CD583684-3961-4A20-B70A-EE5C4BA2468F}">
    <text xml:space="preserve">Shows increasing trend….reliable, but not usable
Lépcsőzetes áremelkedést nem tudja kezelni. Trend figyelésnek viszont jó!
</text>
  </threadedComment>
  <threadedComment ref="B17" dT="2025-03-06T10:13:10.25" personId="{0E4D6D16-74A8-4F75-9B69-4DC6FEE9372F}" id="{3AC7CEF0-DF87-46D6-9AF4-BA74B88AFA36}">
    <text xml:space="preserve">The fee does not follow a clear linear trend. Not Suitable in This Case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5" dT="2025-03-17T15:30:23.35" personId="{0E4D6D16-74A8-4F75-9B69-4DC6FEE9372F}" id="{6F44657A-D9D6-4B55-9670-44BFB0623358}">
    <text xml:space="preserve">Exponential Smoothing Forecast (ETS) </text>
  </threadedComment>
  <threadedComment ref="I5" dT="2025-03-17T14:50:38.44" personId="{0E4D6D16-74A8-4F75-9B69-4DC6FEE9372F}" id="{BFCA1C57-7D32-4103-B246-2EED7F6F9D1B}">
    <text xml:space="preserve">érzékenyebb az egyedi kiugrásokra </text>
  </threadedComment>
  <threadedComment ref="K5" dT="2025-03-17T14:51:52.60" personId="{0E4D6D16-74A8-4F75-9B69-4DC6FEE9372F}" id="{F10B2DA4-7AA4-487B-A5FD-8ADCAC32D44A}">
    <text xml:space="preserve">hároméves átlag inkább a múltbeli stabilitásra épít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2D4C-C6E5-4618-BAA3-B3C845628257}">
  <dimension ref="A1:CG104"/>
  <sheetViews>
    <sheetView zoomScale="98" zoomScaleNormal="98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A5" sqref="A5"/>
    </sheetView>
  </sheetViews>
  <sheetFormatPr defaultRowHeight="14.4" x14ac:dyDescent="0.3"/>
  <cols>
    <col min="1" max="1" width="57.109375" customWidth="1"/>
    <col min="2" max="73" width="10.5546875" bestFit="1" customWidth="1"/>
    <col min="74" max="74" width="11.44140625" bestFit="1" customWidth="1"/>
    <col min="75" max="85" width="10.6640625" style="13" bestFit="1" customWidth="1"/>
    <col min="86" max="86" width="20.109375" customWidth="1"/>
  </cols>
  <sheetData>
    <row r="1" spans="1:85" x14ac:dyDescent="0.3">
      <c r="B1" s="1">
        <v>43466</v>
      </c>
      <c r="C1" s="1">
        <f>EDATE(B1,1)</f>
        <v>43497</v>
      </c>
      <c r="D1" s="1">
        <f t="shared" ref="D1:M1" si="0">EDATE(C1,1)</f>
        <v>43525</v>
      </c>
      <c r="E1" s="1">
        <f t="shared" si="0"/>
        <v>43556</v>
      </c>
      <c r="F1" s="1">
        <f t="shared" si="0"/>
        <v>43586</v>
      </c>
      <c r="G1" s="1">
        <f t="shared" si="0"/>
        <v>43617</v>
      </c>
      <c r="H1" s="1">
        <f t="shared" si="0"/>
        <v>43647</v>
      </c>
      <c r="I1" s="1">
        <f t="shared" si="0"/>
        <v>43678</v>
      </c>
      <c r="J1" s="1">
        <f t="shared" si="0"/>
        <v>43709</v>
      </c>
      <c r="K1" s="1">
        <f t="shared" si="0"/>
        <v>43739</v>
      </c>
      <c r="L1" s="1">
        <f t="shared" si="0"/>
        <v>43770</v>
      </c>
      <c r="M1" s="1">
        <f t="shared" si="0"/>
        <v>43800</v>
      </c>
      <c r="N1" s="1">
        <f t="shared" ref="N1" si="1">EDATE(M1,1)</f>
        <v>43831</v>
      </c>
      <c r="O1" s="1">
        <f t="shared" ref="O1" si="2">EDATE(N1,1)</f>
        <v>43862</v>
      </c>
      <c r="P1" s="1">
        <f t="shared" ref="P1" si="3">EDATE(O1,1)</f>
        <v>43891</v>
      </c>
      <c r="Q1" s="1">
        <f t="shared" ref="Q1" si="4">EDATE(P1,1)</f>
        <v>43922</v>
      </c>
      <c r="R1" s="1">
        <f t="shared" ref="R1" si="5">EDATE(Q1,1)</f>
        <v>43952</v>
      </c>
      <c r="S1" s="1">
        <f t="shared" ref="S1" si="6">EDATE(R1,1)</f>
        <v>43983</v>
      </c>
      <c r="T1" s="1">
        <f t="shared" ref="T1" si="7">EDATE(S1,1)</f>
        <v>44013</v>
      </c>
      <c r="U1" s="1">
        <f t="shared" ref="U1" si="8">EDATE(T1,1)</f>
        <v>44044</v>
      </c>
      <c r="V1" s="1">
        <f t="shared" ref="V1" si="9">EDATE(U1,1)</f>
        <v>44075</v>
      </c>
      <c r="W1" s="1">
        <f t="shared" ref="W1" si="10">EDATE(V1,1)</f>
        <v>44105</v>
      </c>
      <c r="X1" s="1">
        <f t="shared" ref="X1:Z1" si="11">EDATE(W1,1)</f>
        <v>44136</v>
      </c>
      <c r="Y1" s="1">
        <f t="shared" si="11"/>
        <v>44166</v>
      </c>
      <c r="Z1" s="1">
        <f t="shared" si="11"/>
        <v>44197</v>
      </c>
      <c r="AA1" s="1">
        <f t="shared" ref="AA1" si="12">EDATE(Z1,1)</f>
        <v>44228</v>
      </c>
      <c r="AB1" s="1">
        <f t="shared" ref="AB1" si="13">EDATE(AA1,1)</f>
        <v>44256</v>
      </c>
      <c r="AC1" s="1">
        <f t="shared" ref="AC1" si="14">EDATE(AB1,1)</f>
        <v>44287</v>
      </c>
      <c r="AD1" s="1">
        <f t="shared" ref="AD1" si="15">EDATE(AC1,1)</f>
        <v>44317</v>
      </c>
      <c r="AE1" s="1">
        <f t="shared" ref="AE1" si="16">EDATE(AD1,1)</f>
        <v>44348</v>
      </c>
      <c r="AF1" s="1">
        <f t="shared" ref="AF1" si="17">EDATE(AE1,1)</f>
        <v>44378</v>
      </c>
      <c r="AG1" s="1">
        <f t="shared" ref="AG1" si="18">EDATE(AF1,1)</f>
        <v>44409</v>
      </c>
      <c r="AH1" s="1">
        <f t="shared" ref="AH1" si="19">EDATE(AG1,1)</f>
        <v>44440</v>
      </c>
      <c r="AI1" s="1">
        <f t="shared" ref="AI1" si="20">EDATE(AH1,1)</f>
        <v>44470</v>
      </c>
      <c r="AJ1" s="1">
        <f t="shared" ref="AJ1:AK1" si="21">EDATE(AI1,1)</f>
        <v>44501</v>
      </c>
      <c r="AK1" s="1">
        <f t="shared" si="21"/>
        <v>44531</v>
      </c>
      <c r="AL1" s="1">
        <v>44562</v>
      </c>
      <c r="AM1" s="1">
        <v>44593</v>
      </c>
      <c r="AN1" s="1">
        <v>44621</v>
      </c>
      <c r="AO1" s="1">
        <v>44652</v>
      </c>
      <c r="AP1" s="1">
        <v>44682</v>
      </c>
      <c r="AQ1" s="1">
        <v>44713</v>
      </c>
      <c r="AR1" s="1">
        <v>44743</v>
      </c>
      <c r="AS1" s="1">
        <v>44774</v>
      </c>
      <c r="AT1" s="1">
        <v>44805</v>
      </c>
      <c r="AU1" s="1">
        <v>44835</v>
      </c>
      <c r="AV1" s="1">
        <v>44866</v>
      </c>
      <c r="AW1" s="1">
        <v>44896</v>
      </c>
      <c r="AX1" s="1">
        <v>44927</v>
      </c>
      <c r="AY1" s="1">
        <v>44958</v>
      </c>
      <c r="AZ1" s="1">
        <v>44986</v>
      </c>
      <c r="BA1" s="1">
        <v>45017</v>
      </c>
      <c r="BB1" s="1">
        <v>45047</v>
      </c>
      <c r="BC1" s="1">
        <v>45078</v>
      </c>
      <c r="BD1" s="1">
        <v>45108</v>
      </c>
      <c r="BE1" s="1">
        <v>45139</v>
      </c>
      <c r="BF1" s="1">
        <v>45170</v>
      </c>
      <c r="BG1" s="1">
        <v>45200</v>
      </c>
      <c r="BH1" s="1">
        <v>45231</v>
      </c>
      <c r="BI1" s="1">
        <v>45261</v>
      </c>
      <c r="BJ1" s="1">
        <v>45292</v>
      </c>
      <c r="BK1" s="1">
        <v>45323</v>
      </c>
      <c r="BL1" s="1">
        <v>45352</v>
      </c>
      <c r="BM1" s="1">
        <v>45383</v>
      </c>
      <c r="BN1" s="1">
        <v>45413</v>
      </c>
      <c r="BO1" s="1">
        <v>45444</v>
      </c>
      <c r="BP1" s="1">
        <v>45474</v>
      </c>
      <c r="BQ1" s="1">
        <v>45505</v>
      </c>
      <c r="BR1" s="1">
        <v>45536</v>
      </c>
      <c r="BS1" s="1">
        <v>45566</v>
      </c>
      <c r="BT1" s="1">
        <v>45597</v>
      </c>
      <c r="BU1" s="1">
        <v>45627</v>
      </c>
      <c r="BV1" s="1">
        <v>45658</v>
      </c>
      <c r="BW1" s="18">
        <v>45689</v>
      </c>
      <c r="BX1" s="18">
        <v>45717</v>
      </c>
      <c r="BY1" s="18">
        <v>45748</v>
      </c>
      <c r="BZ1" s="18">
        <v>45778</v>
      </c>
      <c r="CA1" s="18">
        <v>45809</v>
      </c>
      <c r="CB1" s="18">
        <v>45839</v>
      </c>
      <c r="CC1" s="18">
        <v>45870</v>
      </c>
      <c r="CD1" s="18">
        <v>45901</v>
      </c>
      <c r="CE1" s="18">
        <v>45931</v>
      </c>
      <c r="CF1" s="18">
        <v>45962</v>
      </c>
      <c r="CG1" s="18">
        <v>45992</v>
      </c>
    </row>
    <row r="2" spans="1:85" x14ac:dyDescent="0.3">
      <c r="A2" t="s">
        <v>41</v>
      </c>
      <c r="B2">
        <v>1.1938789999999999</v>
      </c>
      <c r="C2">
        <v>2.1332740000000001</v>
      </c>
      <c r="D2">
        <v>2.6854269999999998</v>
      </c>
      <c r="E2" s="5">
        <v>2.6473100000000001</v>
      </c>
      <c r="F2" s="5">
        <v>2.7115070000000001</v>
      </c>
      <c r="G2" s="3">
        <v>2.3915069999999998</v>
      </c>
      <c r="H2" s="3">
        <v>1.8947986309071441</v>
      </c>
      <c r="I2" s="3">
        <v>1.7103919999999999</v>
      </c>
      <c r="J2" s="3">
        <v>2.0001569005549569</v>
      </c>
      <c r="K2" s="3">
        <v>1.9364681364862475</v>
      </c>
      <c r="L2" s="3">
        <v>2.195531968340708</v>
      </c>
      <c r="M2" s="3">
        <v>2.4799718754261679</v>
      </c>
      <c r="N2" s="6">
        <v>1.9042410000000001</v>
      </c>
      <c r="O2" s="6">
        <v>2.9090869239860502</v>
      </c>
      <c r="P2" s="6">
        <v>3.4900787348761564</v>
      </c>
      <c r="Q2" s="6">
        <v>5.1864949999999999</v>
      </c>
      <c r="R2" s="6">
        <v>5.2740385298968784</v>
      </c>
      <c r="S2" s="6">
        <v>4.2384269999999997</v>
      </c>
      <c r="T2" s="6">
        <v>3.4735635935661295</v>
      </c>
      <c r="U2" s="6">
        <v>3.4978943751508673</v>
      </c>
      <c r="V2" s="6">
        <v>2.5882339999999999</v>
      </c>
      <c r="W2" s="6">
        <v>2.6730233974256445</v>
      </c>
      <c r="X2" s="6">
        <v>1.730858</v>
      </c>
      <c r="Y2" s="6">
        <v>1.6507179976882551</v>
      </c>
      <c r="Z2" s="6">
        <v>1.4819833370666433</v>
      </c>
      <c r="AA2" s="6">
        <v>2.3417465654674099</v>
      </c>
      <c r="AB2" s="6">
        <v>3.0400826062893995</v>
      </c>
      <c r="AC2" s="6">
        <v>2.7682929999999999</v>
      </c>
      <c r="AD2" s="6">
        <v>3.2279178806834667</v>
      </c>
      <c r="AE2" s="7">
        <v>1.7038511094941062</v>
      </c>
      <c r="AF2" s="7">
        <v>0.20005318681199782</v>
      </c>
      <c r="AG2" s="7">
        <v>1.9438634498625686E-12</v>
      </c>
      <c r="AH2" s="8">
        <v>-1.6841470350841516E-15</v>
      </c>
      <c r="AI2" s="7">
        <v>-1.5062754704661401E-13</v>
      </c>
      <c r="AJ2" s="7">
        <v>-5.7100064591609026E-15</v>
      </c>
      <c r="AK2" s="7">
        <v>-8.919675313390625E-15</v>
      </c>
      <c r="AL2" s="3">
        <v>-19.05</v>
      </c>
      <c r="AM2" s="3">
        <v>-3.3186443053475267</v>
      </c>
      <c r="AN2" s="3">
        <v>-8.1377479483210422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11">
        <v>0</v>
      </c>
      <c r="AY2" s="11">
        <v>4.2854999999999997E-2</v>
      </c>
      <c r="AZ2" s="3">
        <v>0</v>
      </c>
      <c r="BA2" s="3">
        <v>1.2058500000000001</v>
      </c>
      <c r="BB2" s="3">
        <v>3.3768150000000001</v>
      </c>
      <c r="BC2" s="3">
        <v>2.3663796715202494</v>
      </c>
      <c r="BD2" s="3">
        <v>2.819592039491758</v>
      </c>
      <c r="BE2" s="3">
        <v>2.1339232174790368</v>
      </c>
      <c r="BF2" s="3">
        <v>2.0985992142662684</v>
      </c>
      <c r="BG2" s="3">
        <v>0.47974516402665368</v>
      </c>
      <c r="BH2" s="3">
        <v>0.63544067323491193</v>
      </c>
      <c r="BI2" s="3">
        <v>0.76315940949985039</v>
      </c>
      <c r="BJ2" s="3">
        <v>2.3309162742799443</v>
      </c>
      <c r="BK2" s="3">
        <v>4.6129268141766726</v>
      </c>
      <c r="BL2" s="3">
        <v>6.7621703938022861</v>
      </c>
      <c r="BM2" s="3">
        <v>10.664771040986286</v>
      </c>
      <c r="BN2" s="3">
        <v>10.098568998875907</v>
      </c>
      <c r="BO2" s="3">
        <v>7.3332463643303871</v>
      </c>
      <c r="BP2" s="3">
        <v>5.8858747938773321</v>
      </c>
      <c r="BQ2" s="3">
        <v>5.3402994114426257</v>
      </c>
      <c r="BR2" s="3">
        <v>4.937703131301209</v>
      </c>
      <c r="BS2" s="3">
        <v>4.3812116318114285</v>
      </c>
      <c r="BT2" s="3">
        <v>2.4670309537252599</v>
      </c>
      <c r="BU2" s="3">
        <v>0.38061251474262497</v>
      </c>
      <c r="BV2">
        <v>0</v>
      </c>
      <c r="BW2" s="13">
        <v>0.47</v>
      </c>
      <c r="BX2" s="13">
        <v>0.45</v>
      </c>
      <c r="BY2" s="13">
        <v>1.7</v>
      </c>
      <c r="BZ2" s="13">
        <v>2.0699999999999998</v>
      </c>
      <c r="CA2" s="13">
        <v>2.0099999999999998</v>
      </c>
      <c r="CB2" s="13">
        <v>0.75</v>
      </c>
      <c r="CC2" s="13">
        <v>0.71</v>
      </c>
      <c r="CD2" s="13">
        <v>0.66</v>
      </c>
      <c r="CE2" s="13">
        <v>0.28000000000000003</v>
      </c>
      <c r="CF2" s="13">
        <v>0</v>
      </c>
      <c r="CG2" s="13">
        <v>0</v>
      </c>
    </row>
    <row r="3" spans="1:85" x14ac:dyDescent="0.3">
      <c r="A3" t="s">
        <v>57</v>
      </c>
      <c r="B3">
        <v>1.1938789999999999</v>
      </c>
      <c r="C3">
        <v>2.1332740000000001</v>
      </c>
      <c r="D3">
        <v>2.6854269999999998</v>
      </c>
      <c r="E3" s="5">
        <v>2.6473100000000001</v>
      </c>
      <c r="F3" s="5">
        <v>2.7115070000000001</v>
      </c>
      <c r="G3" s="3">
        <v>2.3915069999999998</v>
      </c>
      <c r="H3" s="3">
        <v>1.8947986309071441</v>
      </c>
      <c r="I3" s="3">
        <v>1.7103919999999999</v>
      </c>
      <c r="J3" s="3">
        <v>2.0001569005549569</v>
      </c>
      <c r="K3" s="3">
        <v>1.9364681364862475</v>
      </c>
      <c r="L3" s="3">
        <v>2.195531968340708</v>
      </c>
      <c r="M3" s="3">
        <v>2.4799718754261679</v>
      </c>
      <c r="N3" s="6">
        <v>1.9042410000000001</v>
      </c>
      <c r="O3" s="6">
        <v>2.9090869239860502</v>
      </c>
      <c r="P3" s="6">
        <v>3.4900787348761564</v>
      </c>
      <c r="Q3" s="6">
        <v>5.1864949999999999</v>
      </c>
      <c r="R3" s="6">
        <v>5.2740385298968784</v>
      </c>
      <c r="S3" s="6">
        <v>4.2384269999999997</v>
      </c>
      <c r="T3" s="6">
        <v>3.4735635935661295</v>
      </c>
      <c r="U3" s="6">
        <v>3.4978943751508673</v>
      </c>
      <c r="V3" s="6">
        <v>2.5882339999999999</v>
      </c>
      <c r="W3" s="6">
        <v>2.6730233974256445</v>
      </c>
      <c r="X3" s="6">
        <v>1.730858</v>
      </c>
      <c r="Y3" s="6">
        <v>1.6507179976882551</v>
      </c>
      <c r="Z3" s="6">
        <v>1.4819833370666433</v>
      </c>
      <c r="AA3" s="6">
        <v>2.3417465654674099</v>
      </c>
      <c r="AB3" s="6">
        <v>3.0400826062893995</v>
      </c>
      <c r="AC3" s="6">
        <v>2.7682929999999999</v>
      </c>
      <c r="AD3" s="6">
        <v>3.2279178806834667</v>
      </c>
      <c r="AE3" s="7">
        <v>1.7038511094941062</v>
      </c>
      <c r="AF3" s="7">
        <v>0.20005318681199782</v>
      </c>
      <c r="AG3" s="7">
        <v>1.9438634498625686E-12</v>
      </c>
      <c r="AH3" s="8">
        <v>-1.6841470350841516E-15</v>
      </c>
      <c r="AI3" s="7">
        <v>-1.5062754704661401E-13</v>
      </c>
      <c r="AJ3" s="7">
        <v>-5.7100064591609026E-15</v>
      </c>
      <c r="AK3" s="7">
        <v>-8.919675313390625E-15</v>
      </c>
      <c r="AL3" s="3">
        <v>-19.05</v>
      </c>
      <c r="AM3" s="3">
        <v>-3.3186443053475267</v>
      </c>
      <c r="AN3" s="3">
        <v>-8.1377479483210422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11">
        <v>0</v>
      </c>
      <c r="AY3" s="11">
        <v>4.2854999999999997E-2</v>
      </c>
      <c r="AZ3" s="3">
        <v>0</v>
      </c>
      <c r="BA3" s="3">
        <v>1.2058500000000001</v>
      </c>
      <c r="BB3" s="3">
        <v>3.3768150000000001</v>
      </c>
      <c r="BC3" s="3">
        <v>2.3663796715202494</v>
      </c>
      <c r="BD3" s="3">
        <v>2.819592039491758</v>
      </c>
      <c r="BE3" s="3">
        <v>2.1339232174790368</v>
      </c>
      <c r="BF3" s="3">
        <v>2.0985992142662684</v>
      </c>
      <c r="BG3" s="3">
        <v>0.47974516402665368</v>
      </c>
      <c r="BH3" s="3">
        <v>0.63544067323491193</v>
      </c>
      <c r="BI3" s="3">
        <v>0.76315940949985039</v>
      </c>
      <c r="BJ3" s="3">
        <v>2.3309162742799443</v>
      </c>
      <c r="BK3" s="3">
        <v>4.6129268141766726</v>
      </c>
      <c r="BL3" s="3">
        <v>6.7621703938022861</v>
      </c>
      <c r="BM3" s="3">
        <v>10.664771040986286</v>
      </c>
      <c r="BN3" s="3">
        <v>10.098568998875907</v>
      </c>
      <c r="BO3" s="3">
        <v>7.3332463643303871</v>
      </c>
      <c r="BP3" s="3">
        <v>5.8858747938773321</v>
      </c>
      <c r="BQ3" s="3">
        <v>5.3402994114426257</v>
      </c>
      <c r="BR3" s="3">
        <v>4.937703131301209</v>
      </c>
      <c r="BS3" s="3">
        <v>4.3812116318114285</v>
      </c>
      <c r="BT3" s="3">
        <v>2.4670309537252599</v>
      </c>
      <c r="BU3" s="3">
        <v>0.38061251474262497</v>
      </c>
      <c r="BV3">
        <v>0</v>
      </c>
      <c r="BW3" s="13">
        <v>0.47</v>
      </c>
      <c r="BX3" s="13">
        <v>0.45</v>
      </c>
      <c r="BY3" s="13">
        <v>1.7</v>
      </c>
      <c r="BZ3" s="13">
        <v>2.0699999999999998</v>
      </c>
      <c r="CA3" s="13">
        <v>2.0099999999999998</v>
      </c>
      <c r="CB3" s="13">
        <v>0.75</v>
      </c>
      <c r="CC3" s="13">
        <v>0.71</v>
      </c>
      <c r="CD3" s="13">
        <v>0.66</v>
      </c>
      <c r="CE3" s="13">
        <v>0.28000000000000003</v>
      </c>
      <c r="CF3" s="13">
        <v>0</v>
      </c>
      <c r="CG3" s="13">
        <v>0</v>
      </c>
    </row>
    <row r="4" spans="1:85" x14ac:dyDescent="0.3">
      <c r="A4" t="s">
        <v>58</v>
      </c>
      <c r="B4">
        <v>1.1938789999999999</v>
      </c>
      <c r="C4">
        <v>2.1332740000000001</v>
      </c>
      <c r="D4">
        <v>2.6854269999999998</v>
      </c>
      <c r="E4" s="5">
        <v>2.6473100000000001</v>
      </c>
      <c r="F4" s="5">
        <v>2.7115070000000001</v>
      </c>
      <c r="G4" s="3">
        <v>2.3915069999999998</v>
      </c>
      <c r="H4" s="3">
        <v>1.8947986309071441</v>
      </c>
      <c r="I4" s="3">
        <v>1.7103919999999999</v>
      </c>
      <c r="J4" s="3">
        <v>2.0001569005549569</v>
      </c>
      <c r="K4" s="3">
        <v>1.9364681364862475</v>
      </c>
      <c r="L4" s="3">
        <v>2.195531968340708</v>
      </c>
      <c r="M4" s="3">
        <v>2.4799718754261679</v>
      </c>
      <c r="N4" s="6">
        <v>1.9042410000000001</v>
      </c>
      <c r="O4" s="6">
        <v>2.9090869239860502</v>
      </c>
      <c r="P4" s="6">
        <v>3.4900787348761564</v>
      </c>
      <c r="Q4" s="6">
        <v>5.1864949999999999</v>
      </c>
      <c r="R4" s="6">
        <v>5.2740385298968784</v>
      </c>
      <c r="S4" s="6">
        <v>4.2384269999999997</v>
      </c>
      <c r="T4" s="6">
        <v>3.4735635935661295</v>
      </c>
      <c r="U4" s="6">
        <v>3.4978943751508673</v>
      </c>
      <c r="V4" s="6">
        <v>2.5882339999999999</v>
      </c>
      <c r="W4" s="6">
        <v>2.6730233974256445</v>
      </c>
      <c r="X4" s="6">
        <v>1.730858</v>
      </c>
      <c r="Y4" s="6">
        <v>1.6507179976882551</v>
      </c>
      <c r="Z4" s="6">
        <v>1.4819833370666433</v>
      </c>
      <c r="AA4" s="6">
        <v>2.3417465654674099</v>
      </c>
      <c r="AB4" s="6">
        <v>3.0400826062893995</v>
      </c>
      <c r="AC4" s="6">
        <v>2.7682929999999999</v>
      </c>
      <c r="AD4" s="6">
        <v>3.2279178806834667</v>
      </c>
      <c r="AE4" s="7">
        <v>1.7038511094941062</v>
      </c>
      <c r="AF4" s="7">
        <v>0.20005318681199782</v>
      </c>
      <c r="AG4" s="7">
        <v>1.9438634498625686E-12</v>
      </c>
      <c r="AH4" s="8">
        <v>-1.6841470350841516E-15</v>
      </c>
      <c r="AI4" s="7">
        <v>-1.5062754704661401E-13</v>
      </c>
      <c r="AJ4" s="7">
        <v>-5.7100064591609026E-15</v>
      </c>
      <c r="AK4" s="7">
        <v>-8.919675313390625E-15</v>
      </c>
      <c r="AL4" s="3">
        <v>-19.05</v>
      </c>
      <c r="AM4" s="3">
        <v>-3.3186443053475267</v>
      </c>
      <c r="AN4" s="3">
        <v>-8.1377479483210422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11">
        <v>0</v>
      </c>
      <c r="AY4" s="11">
        <v>4.2854999999999997E-2</v>
      </c>
      <c r="AZ4" s="3">
        <v>0</v>
      </c>
      <c r="BA4" s="3">
        <v>1.2058500000000001</v>
      </c>
      <c r="BB4" s="3">
        <v>3.3768150000000001</v>
      </c>
      <c r="BC4" s="3">
        <v>2.3663796715202494</v>
      </c>
      <c r="BD4" s="3">
        <v>2.819592039491758</v>
      </c>
      <c r="BE4" s="3">
        <v>2.1339232174790368</v>
      </c>
      <c r="BF4" s="3">
        <v>2.0985992142662684</v>
      </c>
      <c r="BG4" s="3">
        <v>0.47974516402665368</v>
      </c>
      <c r="BH4" s="3">
        <v>0.63544067323491193</v>
      </c>
      <c r="BI4" s="3">
        <v>0.76315940949985039</v>
      </c>
      <c r="BJ4" s="3">
        <v>2.3309162742799443</v>
      </c>
      <c r="BK4" s="3">
        <v>4.6129268141766726</v>
      </c>
      <c r="BL4" s="3">
        <v>6.7621703938022861</v>
      </c>
      <c r="BM4" s="3">
        <v>10.664771040986286</v>
      </c>
      <c r="BN4" s="3">
        <v>10.098568998875907</v>
      </c>
      <c r="BO4" s="3">
        <v>7.3332463643303871</v>
      </c>
      <c r="BP4" s="3">
        <v>5.8858747938773321</v>
      </c>
      <c r="BQ4" s="3">
        <v>5.3402994114426257</v>
      </c>
      <c r="BR4" s="3">
        <v>4.937703131301209</v>
      </c>
      <c r="BS4" s="3">
        <v>4.3812116318114285</v>
      </c>
      <c r="BT4" s="3">
        <v>2.4670309537252599</v>
      </c>
      <c r="BU4" s="3">
        <v>0.38061251474262497</v>
      </c>
      <c r="BV4">
        <v>0</v>
      </c>
      <c r="BW4" s="13">
        <v>0.47</v>
      </c>
      <c r="BX4" s="13">
        <v>0.45</v>
      </c>
      <c r="BY4" s="13">
        <v>1.7</v>
      </c>
      <c r="BZ4" s="13">
        <v>2.0699999999999998</v>
      </c>
      <c r="CA4" s="13">
        <v>2.0099999999999998</v>
      </c>
      <c r="CB4" s="13">
        <v>0.75</v>
      </c>
      <c r="CC4" s="13">
        <v>0.71</v>
      </c>
      <c r="CD4" s="13">
        <v>0.66</v>
      </c>
      <c r="CE4" s="13">
        <v>0.28000000000000003</v>
      </c>
      <c r="CF4" s="13">
        <v>0</v>
      </c>
      <c r="CG4" s="13">
        <v>0</v>
      </c>
    </row>
    <row r="5" spans="1:85" x14ac:dyDescent="0.3">
      <c r="A5" t="s">
        <v>59</v>
      </c>
      <c r="B5">
        <v>1.1938789999999999</v>
      </c>
      <c r="C5">
        <v>2.1332740000000001</v>
      </c>
      <c r="D5">
        <v>2.6854269999999998</v>
      </c>
      <c r="E5" s="5">
        <v>2.6473100000000001</v>
      </c>
      <c r="F5" s="5">
        <v>2.7115070000000001</v>
      </c>
      <c r="G5" s="3">
        <v>2.3915069999999998</v>
      </c>
      <c r="H5" s="3">
        <v>1.8947986309071441</v>
      </c>
      <c r="I5" s="3">
        <v>1.7103919999999999</v>
      </c>
      <c r="J5" s="3">
        <v>2.0001569005549569</v>
      </c>
      <c r="K5" s="3">
        <v>1.9364681364862475</v>
      </c>
      <c r="L5" s="3">
        <v>2.195531968340708</v>
      </c>
      <c r="M5" s="3">
        <v>2.4799718754261679</v>
      </c>
      <c r="N5" s="6">
        <v>1.9042410000000001</v>
      </c>
      <c r="O5" s="6">
        <v>2.9090869239860502</v>
      </c>
      <c r="P5" s="6">
        <v>3.4900787348761564</v>
      </c>
      <c r="Q5" s="6">
        <v>5.1864949999999999</v>
      </c>
      <c r="R5" s="6">
        <v>5.2740385298968784</v>
      </c>
      <c r="S5" s="6">
        <v>4.2384269999999997</v>
      </c>
      <c r="T5" s="6">
        <v>3.4735635935661295</v>
      </c>
      <c r="U5" s="6">
        <v>3.4978943751508673</v>
      </c>
      <c r="V5" s="6">
        <v>2.5882339999999999</v>
      </c>
      <c r="W5" s="6">
        <v>2.6730233974256445</v>
      </c>
      <c r="X5" s="6">
        <v>1.730858</v>
      </c>
      <c r="Y5" s="6">
        <v>1.6507179976882551</v>
      </c>
      <c r="Z5" s="6">
        <v>1.4819833370666433</v>
      </c>
      <c r="AA5" s="6">
        <v>2.3417465654674099</v>
      </c>
      <c r="AB5" s="6">
        <v>3.0400826062893995</v>
      </c>
      <c r="AC5" s="6">
        <v>2.7682929999999999</v>
      </c>
      <c r="AD5" s="6">
        <v>3.2279178806834667</v>
      </c>
      <c r="AE5" s="7">
        <v>1.7038511094941062</v>
      </c>
      <c r="AF5" s="7">
        <v>0.20005318681199782</v>
      </c>
      <c r="AG5" s="7">
        <v>1.9438634498625686E-12</v>
      </c>
      <c r="AH5" s="8">
        <v>-1.6841470350841516E-15</v>
      </c>
      <c r="AI5" s="7">
        <v>-1.5062754704661401E-13</v>
      </c>
      <c r="AJ5" s="7">
        <v>-5.7100064591609026E-15</v>
      </c>
      <c r="AK5" s="7">
        <v>-8.919675313390625E-15</v>
      </c>
      <c r="AL5" s="3">
        <v>-19.05</v>
      </c>
      <c r="AM5" s="3">
        <v>-3.3186443053475267</v>
      </c>
      <c r="AN5" s="3">
        <v>-8.1377479483210422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11">
        <v>0</v>
      </c>
      <c r="AY5" s="11">
        <v>4.2854999999999997E-2</v>
      </c>
      <c r="AZ5" s="3">
        <v>0</v>
      </c>
      <c r="BA5" s="3">
        <v>1.2058500000000001</v>
      </c>
      <c r="BB5" s="3">
        <v>3.3768150000000001</v>
      </c>
      <c r="BC5" s="3">
        <v>2.3663796715202494</v>
      </c>
      <c r="BD5" s="3">
        <v>2.819592039491758</v>
      </c>
      <c r="BE5" s="3">
        <v>2.1339232174790368</v>
      </c>
      <c r="BF5" s="3">
        <v>2.0985992142662684</v>
      </c>
      <c r="BG5" s="3">
        <v>0.47974516402665368</v>
      </c>
      <c r="BH5" s="3">
        <v>0.63544067323491193</v>
      </c>
      <c r="BI5" s="3">
        <v>0.76315940949985039</v>
      </c>
      <c r="BJ5" s="3">
        <v>2.3309162742799443</v>
      </c>
      <c r="BK5" s="3">
        <v>4.6129268141766726</v>
      </c>
      <c r="BL5" s="3">
        <v>6.7621703938022861</v>
      </c>
      <c r="BM5" s="3">
        <v>10.664771040986286</v>
      </c>
      <c r="BN5" s="3">
        <v>10.098568998875907</v>
      </c>
      <c r="BO5" s="3">
        <v>7.3332463643303871</v>
      </c>
      <c r="BP5" s="3">
        <v>5.8858747938773321</v>
      </c>
      <c r="BQ5" s="3">
        <v>5.3402994114426257</v>
      </c>
      <c r="BR5" s="3">
        <v>4.937703131301209</v>
      </c>
      <c r="BS5" s="3">
        <v>4.3812116318114285</v>
      </c>
      <c r="BT5" s="3">
        <v>2.4670309537252599</v>
      </c>
      <c r="BU5" s="3">
        <v>0.38061251474262497</v>
      </c>
      <c r="BV5">
        <v>0</v>
      </c>
      <c r="BW5" s="13">
        <v>0.47</v>
      </c>
      <c r="BX5" s="13">
        <v>0.45</v>
      </c>
      <c r="BY5" s="13">
        <v>1.7</v>
      </c>
      <c r="BZ5" s="13">
        <v>2.0699999999999998</v>
      </c>
      <c r="CA5" s="13">
        <v>2.0099999999999998</v>
      </c>
      <c r="CB5" s="13">
        <v>0.75</v>
      </c>
      <c r="CC5" s="13">
        <v>0.71</v>
      </c>
      <c r="CD5" s="13">
        <v>0.66</v>
      </c>
      <c r="CE5" s="13">
        <v>0.28000000000000003</v>
      </c>
      <c r="CF5" s="13">
        <v>0</v>
      </c>
      <c r="CG5" s="13">
        <v>0</v>
      </c>
    </row>
    <row r="6" spans="1:85" x14ac:dyDescent="0.3">
      <c r="A6" t="s">
        <v>60</v>
      </c>
      <c r="B6">
        <v>1.1938789999999999</v>
      </c>
      <c r="C6">
        <v>2.1332740000000001</v>
      </c>
      <c r="D6">
        <v>2.6854269999999998</v>
      </c>
      <c r="E6" s="5">
        <v>2.6473100000000001</v>
      </c>
      <c r="F6" s="5">
        <v>2.7115070000000001</v>
      </c>
      <c r="G6" s="3">
        <v>2.3915069999999998</v>
      </c>
      <c r="H6" s="3">
        <v>1.8947986309071441</v>
      </c>
      <c r="I6" s="3">
        <v>1.7103919999999999</v>
      </c>
      <c r="J6" s="3">
        <v>2.0001569005549569</v>
      </c>
      <c r="K6" s="3">
        <v>1.9364681364862475</v>
      </c>
      <c r="L6" s="3">
        <v>2.195531968340708</v>
      </c>
      <c r="M6" s="3">
        <v>2.4799718754261679</v>
      </c>
      <c r="N6" s="6">
        <v>1.9042410000000001</v>
      </c>
      <c r="O6" s="6">
        <v>2.9090869239860502</v>
      </c>
      <c r="P6" s="6">
        <v>3.4900787348761564</v>
      </c>
      <c r="Q6" s="6">
        <v>5.1864949999999999</v>
      </c>
      <c r="R6" s="6">
        <v>5.2740385298968784</v>
      </c>
      <c r="S6" s="6">
        <v>4.2384269999999997</v>
      </c>
      <c r="T6" s="6">
        <v>3.4735635935661295</v>
      </c>
      <c r="U6" s="6">
        <v>3.4978943751508673</v>
      </c>
      <c r="V6" s="6">
        <v>2.5882339999999999</v>
      </c>
      <c r="W6" s="6">
        <v>2.6730233974256445</v>
      </c>
      <c r="X6" s="6">
        <v>1.730858</v>
      </c>
      <c r="Y6" s="6">
        <v>1.6507179976882551</v>
      </c>
      <c r="Z6" s="6">
        <v>1.4819833370666433</v>
      </c>
      <c r="AA6" s="6">
        <v>2.3417465654674099</v>
      </c>
      <c r="AB6" s="6">
        <v>3.0400826062893995</v>
      </c>
      <c r="AC6" s="6">
        <v>2.7682929999999999</v>
      </c>
      <c r="AD6" s="6">
        <v>3.2279178806834667</v>
      </c>
      <c r="AE6" s="7">
        <v>1.7038511094941062</v>
      </c>
      <c r="AF6" s="7">
        <v>0.20005318681199782</v>
      </c>
      <c r="AG6" s="7">
        <v>1.9438634498625686E-12</v>
      </c>
      <c r="AH6" s="8">
        <v>-1.6841470350841516E-15</v>
      </c>
      <c r="AI6" s="7">
        <v>-1.5062754704661401E-13</v>
      </c>
      <c r="AJ6" s="7">
        <v>-5.7100064591609026E-15</v>
      </c>
      <c r="AK6" s="7">
        <v>-8.919675313390625E-15</v>
      </c>
      <c r="AL6" s="3">
        <v>-19.05</v>
      </c>
      <c r="AM6" s="3">
        <v>-3.3186443053475267</v>
      </c>
      <c r="AN6" s="3">
        <v>-8.1377479483210422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11">
        <v>0</v>
      </c>
      <c r="AY6" s="11">
        <v>4.2854999999999997E-2</v>
      </c>
      <c r="AZ6" s="3">
        <v>0</v>
      </c>
      <c r="BA6" s="3">
        <v>1.2058500000000001</v>
      </c>
      <c r="BB6" s="3">
        <v>3.3768150000000001</v>
      </c>
      <c r="BC6" s="3">
        <v>2.3663796715202494</v>
      </c>
      <c r="BD6" s="3">
        <v>2.819592039491758</v>
      </c>
      <c r="BE6" s="3">
        <v>2.1339232174790368</v>
      </c>
      <c r="BF6" s="3">
        <v>2.0985992142662684</v>
      </c>
      <c r="BG6" s="3">
        <v>0.47974516402665368</v>
      </c>
      <c r="BH6" s="3">
        <v>0.63544067323491193</v>
      </c>
      <c r="BI6" s="3">
        <v>0.76315940949985039</v>
      </c>
      <c r="BJ6" s="3">
        <v>2.3309162742799443</v>
      </c>
      <c r="BK6" s="3">
        <v>4.6129268141766726</v>
      </c>
      <c r="BL6" s="3">
        <v>6.7621703938022861</v>
      </c>
      <c r="BM6" s="3">
        <v>10.664771040986286</v>
      </c>
      <c r="BN6" s="3">
        <v>10.098568998875907</v>
      </c>
      <c r="BO6" s="3">
        <v>7.3332463643303871</v>
      </c>
      <c r="BP6" s="3">
        <v>5.8858747938773321</v>
      </c>
      <c r="BQ6" s="3">
        <v>5.3402994114426257</v>
      </c>
      <c r="BR6" s="3">
        <v>4.937703131301209</v>
      </c>
      <c r="BS6" s="3">
        <v>4.3812116318114285</v>
      </c>
      <c r="BT6" s="3">
        <v>2.4670309537252599</v>
      </c>
      <c r="BU6" s="3">
        <v>0.38061251474262497</v>
      </c>
      <c r="BV6">
        <v>0</v>
      </c>
      <c r="BW6" s="13">
        <v>0.47</v>
      </c>
      <c r="BX6" s="13">
        <v>0.45</v>
      </c>
      <c r="BY6" s="13">
        <v>1.7</v>
      </c>
      <c r="BZ6" s="13">
        <v>2.0699999999999998</v>
      </c>
      <c r="CA6" s="13">
        <v>2.0099999999999998</v>
      </c>
      <c r="CB6" s="13">
        <v>0.75</v>
      </c>
      <c r="CC6" s="13">
        <v>0.71</v>
      </c>
      <c r="CD6" s="13">
        <v>0.66</v>
      </c>
      <c r="CE6" s="13">
        <v>0.28000000000000003</v>
      </c>
      <c r="CF6" s="13">
        <v>0</v>
      </c>
      <c r="CG6" s="13">
        <v>0</v>
      </c>
    </row>
    <row r="7" spans="1:85" x14ac:dyDescent="0.3">
      <c r="A7" t="s">
        <v>61</v>
      </c>
      <c r="B7">
        <v>1.1938789999999999</v>
      </c>
      <c r="C7">
        <v>2.1332740000000001</v>
      </c>
      <c r="D7">
        <v>2.6854269999999998</v>
      </c>
      <c r="E7" s="5">
        <v>2.6473100000000001</v>
      </c>
      <c r="F7" s="5">
        <v>2.7115070000000001</v>
      </c>
      <c r="G7" s="3">
        <v>2.3915069999999998</v>
      </c>
      <c r="H7" s="3">
        <v>1.8947986309071441</v>
      </c>
      <c r="I7" s="3">
        <v>1.7103919999999999</v>
      </c>
      <c r="J7" s="3">
        <v>2.0001569005549569</v>
      </c>
      <c r="K7" s="3">
        <v>1.9364681364862475</v>
      </c>
      <c r="L7" s="3">
        <v>2.195531968340708</v>
      </c>
      <c r="M7" s="3">
        <v>2.4799718754261679</v>
      </c>
      <c r="N7" s="6">
        <v>1.9042410000000001</v>
      </c>
      <c r="O7" s="6">
        <v>2.9090869239860502</v>
      </c>
      <c r="P7" s="6">
        <v>3.4900787348761564</v>
      </c>
      <c r="Q7" s="6">
        <v>5.1864949999999999</v>
      </c>
      <c r="R7" s="6">
        <v>5.2740385298968784</v>
      </c>
      <c r="S7" s="6">
        <v>4.2384269999999997</v>
      </c>
      <c r="T7" s="6">
        <v>3.4735635935661295</v>
      </c>
      <c r="U7" s="6">
        <v>3.4978943751508673</v>
      </c>
      <c r="V7" s="6">
        <v>2.5882339999999999</v>
      </c>
      <c r="W7" s="6">
        <v>2.6730233974256445</v>
      </c>
      <c r="X7" s="6">
        <v>1.730858</v>
      </c>
      <c r="Y7" s="6">
        <v>1.6507179976882551</v>
      </c>
      <c r="Z7" s="6">
        <v>1.4819833370666433</v>
      </c>
      <c r="AA7" s="6">
        <v>2.3417465654674099</v>
      </c>
      <c r="AB7" s="6">
        <v>3.0400826062893995</v>
      </c>
      <c r="AC7" s="6">
        <v>2.7682929999999999</v>
      </c>
      <c r="AD7" s="6">
        <v>3.2279178806834667</v>
      </c>
      <c r="AE7" s="7">
        <v>1.7038511094941062</v>
      </c>
      <c r="AF7" s="7">
        <v>0.20005318681199782</v>
      </c>
      <c r="AG7" s="7">
        <v>1.9438634498625686E-12</v>
      </c>
      <c r="AH7" s="8">
        <v>-1.6841470350841516E-15</v>
      </c>
      <c r="AI7" s="7">
        <v>-1.5062754704661401E-13</v>
      </c>
      <c r="AJ7" s="7">
        <v>-5.7100064591609026E-15</v>
      </c>
      <c r="AK7" s="7">
        <v>-8.919675313390625E-15</v>
      </c>
      <c r="AL7" s="3">
        <v>-19.05</v>
      </c>
      <c r="AM7" s="3">
        <v>-3.3186443053475267</v>
      </c>
      <c r="AN7" s="3">
        <v>-8.1377479483210422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1">
        <v>0</v>
      </c>
      <c r="AY7" s="11">
        <v>4.2854999999999997E-2</v>
      </c>
      <c r="AZ7" s="3">
        <v>0</v>
      </c>
      <c r="BA7" s="3">
        <v>1.2058500000000001</v>
      </c>
      <c r="BB7" s="3">
        <v>3.3768150000000001</v>
      </c>
      <c r="BC7" s="3">
        <v>2.3663796715202494</v>
      </c>
      <c r="BD7" s="3">
        <v>2.819592039491758</v>
      </c>
      <c r="BE7" s="3">
        <v>2.1339232174790368</v>
      </c>
      <c r="BF7" s="3">
        <v>2.0985992142662684</v>
      </c>
      <c r="BG7" s="3">
        <v>0.47974516402665368</v>
      </c>
      <c r="BH7" s="3">
        <v>0.63544067323491193</v>
      </c>
      <c r="BI7" s="3">
        <v>0.76315940949985039</v>
      </c>
      <c r="BJ7" s="3">
        <v>2.3309162742799443</v>
      </c>
      <c r="BK7" s="3">
        <v>4.6129268141766726</v>
      </c>
      <c r="BL7" s="3">
        <v>6.7621703938022861</v>
      </c>
      <c r="BM7" s="3">
        <v>10.664771040986286</v>
      </c>
      <c r="BN7" s="3">
        <v>10.098568998875907</v>
      </c>
      <c r="BO7" s="3">
        <v>7.3332463643303871</v>
      </c>
      <c r="BP7" s="3">
        <v>5.8858747938773321</v>
      </c>
      <c r="BQ7" s="3">
        <v>5.3402994114426257</v>
      </c>
      <c r="BR7" s="3">
        <v>4.937703131301209</v>
      </c>
      <c r="BS7" s="3">
        <v>4.3812116318114285</v>
      </c>
      <c r="BT7" s="3">
        <v>2.4670309537252599</v>
      </c>
      <c r="BU7" s="3">
        <v>0.38061251474262497</v>
      </c>
      <c r="BV7">
        <v>0</v>
      </c>
      <c r="BW7" s="13">
        <v>0.47</v>
      </c>
      <c r="BX7" s="13">
        <v>0.45</v>
      </c>
      <c r="BY7" s="13">
        <v>1.7</v>
      </c>
      <c r="BZ7" s="13">
        <v>2.0699999999999998</v>
      </c>
      <c r="CA7" s="13">
        <v>2.0099999999999998</v>
      </c>
      <c r="CB7" s="13">
        <v>0.75</v>
      </c>
      <c r="CC7" s="13">
        <v>0.71</v>
      </c>
      <c r="CD7" s="13">
        <v>0.66</v>
      </c>
      <c r="CE7" s="13">
        <v>0.28000000000000003</v>
      </c>
      <c r="CF7" s="13">
        <v>0</v>
      </c>
      <c r="CG7" s="13">
        <v>0</v>
      </c>
    </row>
    <row r="8" spans="1:85" x14ac:dyDescent="0.3">
      <c r="A8" t="s">
        <v>62</v>
      </c>
      <c r="B8">
        <v>1.1938789999999999</v>
      </c>
      <c r="C8">
        <v>2.1332740000000001</v>
      </c>
      <c r="D8">
        <v>2.6854269999999998</v>
      </c>
      <c r="E8" s="5">
        <v>2.6473100000000001</v>
      </c>
      <c r="F8" s="5">
        <v>2.7115070000000001</v>
      </c>
      <c r="G8" s="3">
        <v>2.3915069999999998</v>
      </c>
      <c r="H8" s="3">
        <v>1.8947986309071441</v>
      </c>
      <c r="I8" s="3">
        <v>1.7103919999999999</v>
      </c>
      <c r="J8" s="3">
        <v>2.0001569005549569</v>
      </c>
      <c r="K8" s="3">
        <v>1.9364681364862475</v>
      </c>
      <c r="L8" s="3">
        <v>2.195531968340708</v>
      </c>
      <c r="M8" s="3">
        <v>2.4799718754261679</v>
      </c>
      <c r="N8" s="6">
        <v>1.9042410000000001</v>
      </c>
      <c r="O8" s="6">
        <v>2.9090869239860502</v>
      </c>
      <c r="P8" s="6">
        <v>3.4900787348761564</v>
      </c>
      <c r="Q8" s="6">
        <v>5.1864949999999999</v>
      </c>
      <c r="R8" s="6">
        <v>5.2740385298968784</v>
      </c>
      <c r="S8" s="6">
        <v>4.2384269999999997</v>
      </c>
      <c r="T8" s="6">
        <v>3.4735635935661295</v>
      </c>
      <c r="U8" s="6">
        <v>3.4978943751508673</v>
      </c>
      <c r="V8" s="6">
        <v>2.5882339999999999</v>
      </c>
      <c r="W8" s="6">
        <v>2.6730233974256445</v>
      </c>
      <c r="X8" s="6">
        <v>1.730858</v>
      </c>
      <c r="Y8" s="6">
        <v>1.6507179976882551</v>
      </c>
      <c r="Z8" s="6">
        <v>1.4819833370666433</v>
      </c>
      <c r="AA8" s="6">
        <v>2.3417465654674099</v>
      </c>
      <c r="AB8" s="6">
        <v>3.0400826062893995</v>
      </c>
      <c r="AC8" s="6">
        <v>2.7682929999999999</v>
      </c>
      <c r="AD8" s="6">
        <v>3.2279178806834667</v>
      </c>
      <c r="AE8" s="7">
        <v>1.7038511094941062</v>
      </c>
      <c r="AF8" s="7">
        <v>0.20005318681199782</v>
      </c>
      <c r="AG8" s="7">
        <v>1.9438634498625686E-12</v>
      </c>
      <c r="AH8" s="8">
        <v>-1.6841470350841516E-15</v>
      </c>
      <c r="AI8" s="7">
        <v>-1.5062754704661401E-13</v>
      </c>
      <c r="AJ8" s="7">
        <v>-5.7100064591609026E-15</v>
      </c>
      <c r="AK8" s="7">
        <v>-8.919675313390625E-15</v>
      </c>
      <c r="AL8" s="3">
        <v>-19.05</v>
      </c>
      <c r="AM8" s="3">
        <v>-3.3186443053475267</v>
      </c>
      <c r="AN8" s="3">
        <v>-8.1377479483210422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1">
        <v>0</v>
      </c>
      <c r="AY8" s="11">
        <v>4.2854999999999997E-2</v>
      </c>
      <c r="AZ8" s="3">
        <v>0</v>
      </c>
      <c r="BA8" s="3">
        <v>1.2058500000000001</v>
      </c>
      <c r="BB8" s="3">
        <v>3.3768150000000001</v>
      </c>
      <c r="BC8" s="3">
        <v>2.3663796715202494</v>
      </c>
      <c r="BD8" s="3">
        <v>2.819592039491758</v>
      </c>
      <c r="BE8" s="3">
        <v>2.1339232174790368</v>
      </c>
      <c r="BF8" s="3">
        <v>2.0985992142662684</v>
      </c>
      <c r="BG8" s="3">
        <v>0.47974516402665368</v>
      </c>
      <c r="BH8" s="3">
        <v>0.63544067323491193</v>
      </c>
      <c r="BI8" s="3">
        <v>0.76315940949985039</v>
      </c>
      <c r="BJ8" s="3">
        <v>2.3309162742799443</v>
      </c>
      <c r="BK8" s="3">
        <v>4.6129268141766726</v>
      </c>
      <c r="BL8" s="3">
        <v>6.7621703938022861</v>
      </c>
      <c r="BM8" s="3">
        <v>10.664771040986286</v>
      </c>
      <c r="BN8" s="3">
        <v>10.098568998875907</v>
      </c>
      <c r="BO8" s="3">
        <v>7.3332463643303871</v>
      </c>
      <c r="BP8" s="3">
        <v>5.8858747938773321</v>
      </c>
      <c r="BQ8" s="3">
        <v>5.3402994114426257</v>
      </c>
      <c r="BR8" s="3">
        <v>4.937703131301209</v>
      </c>
      <c r="BS8" s="3">
        <v>4.3812116318114285</v>
      </c>
      <c r="BT8" s="3">
        <v>2.4670309537252599</v>
      </c>
      <c r="BU8" s="3">
        <v>0.38061251474262497</v>
      </c>
      <c r="BV8">
        <v>0</v>
      </c>
      <c r="BW8" s="13">
        <v>0.47</v>
      </c>
      <c r="BX8" s="13">
        <v>0.45</v>
      </c>
      <c r="BY8" s="13">
        <v>1.7</v>
      </c>
      <c r="BZ8" s="13">
        <v>2.0699999999999998</v>
      </c>
      <c r="CA8" s="13">
        <v>2.0099999999999998</v>
      </c>
      <c r="CB8" s="13">
        <v>0.75</v>
      </c>
      <c r="CC8" s="13">
        <v>0.71</v>
      </c>
      <c r="CD8" s="13">
        <v>0.66</v>
      </c>
      <c r="CE8" s="13">
        <v>0.28000000000000003</v>
      </c>
      <c r="CF8" s="13">
        <v>0</v>
      </c>
      <c r="CG8" s="13">
        <v>0</v>
      </c>
    </row>
    <row r="9" spans="1:85" x14ac:dyDescent="0.3">
      <c r="A9" t="s">
        <v>63</v>
      </c>
      <c r="B9">
        <v>1.1938789999999999</v>
      </c>
      <c r="C9">
        <v>2.1332740000000001</v>
      </c>
      <c r="D9">
        <v>2.6854269999999998</v>
      </c>
      <c r="E9" s="5">
        <v>2.6473100000000001</v>
      </c>
      <c r="F9" s="5">
        <v>2.7115070000000001</v>
      </c>
      <c r="G9" s="3">
        <v>2.3915069999999998</v>
      </c>
      <c r="H9" s="3">
        <v>1.8947986309071441</v>
      </c>
      <c r="I9" s="3">
        <v>1.7103919999999999</v>
      </c>
      <c r="J9" s="3">
        <v>2.0001569005549569</v>
      </c>
      <c r="K9" s="3">
        <v>1.9364681364862475</v>
      </c>
      <c r="L9" s="3">
        <v>2.195531968340708</v>
      </c>
      <c r="M9" s="3">
        <v>2.4799718754261679</v>
      </c>
      <c r="N9" s="6">
        <v>1.9042410000000001</v>
      </c>
      <c r="O9" s="6">
        <v>2.9090869239860502</v>
      </c>
      <c r="P9" s="6">
        <v>3.4900787348761564</v>
      </c>
      <c r="Q9" s="6">
        <v>5.1864949999999999</v>
      </c>
      <c r="R9" s="6">
        <v>5.2740385298968784</v>
      </c>
      <c r="S9" s="6">
        <v>4.2384269999999997</v>
      </c>
      <c r="T9" s="6">
        <v>3.4735635935661295</v>
      </c>
      <c r="U9" s="6">
        <v>3.4978943751508673</v>
      </c>
      <c r="V9" s="6">
        <v>2.5882339999999999</v>
      </c>
      <c r="W9" s="6">
        <v>2.6730233974256445</v>
      </c>
      <c r="X9" s="6">
        <v>1.730858</v>
      </c>
      <c r="Y9" s="6">
        <v>1.6507179976882551</v>
      </c>
      <c r="Z9" s="6">
        <v>1.4819833370666433</v>
      </c>
      <c r="AA9" s="6">
        <v>2.3417465654674099</v>
      </c>
      <c r="AB9" s="6">
        <v>3.0400826062893995</v>
      </c>
      <c r="AC9" s="6">
        <v>2.7682929999999999</v>
      </c>
      <c r="AD9" s="6">
        <v>3.2279178806834667</v>
      </c>
      <c r="AE9" s="7">
        <v>1.7038511094941062</v>
      </c>
      <c r="AF9" s="7">
        <v>0.20005318681199782</v>
      </c>
      <c r="AG9" s="7">
        <v>1.9438634498625686E-12</v>
      </c>
      <c r="AH9" s="8">
        <v>-1.6841470350841516E-15</v>
      </c>
      <c r="AI9" s="7">
        <v>-1.5062754704661401E-13</v>
      </c>
      <c r="AJ9" s="7">
        <v>-5.7100064591609026E-15</v>
      </c>
      <c r="AK9" s="7">
        <v>-8.919675313390625E-15</v>
      </c>
      <c r="AL9" s="3">
        <v>-19.05</v>
      </c>
      <c r="AM9" s="3">
        <v>-3.3186443053475267</v>
      </c>
      <c r="AN9" s="3">
        <v>-8.1377479483210422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1">
        <v>0</v>
      </c>
      <c r="AY9" s="11">
        <v>4.2854999999999997E-2</v>
      </c>
      <c r="AZ9" s="3">
        <v>0</v>
      </c>
      <c r="BA9" s="3">
        <v>1.2058500000000001</v>
      </c>
      <c r="BB9" s="3">
        <v>3.3768150000000001</v>
      </c>
      <c r="BC9" s="3">
        <v>2.3663796715202494</v>
      </c>
      <c r="BD9" s="3">
        <v>2.819592039491758</v>
      </c>
      <c r="BE9" s="3">
        <v>2.1339232174790368</v>
      </c>
      <c r="BF9" s="3">
        <v>2.0985992142662684</v>
      </c>
      <c r="BG9" s="3">
        <v>0.47974516402665368</v>
      </c>
      <c r="BH9" s="3">
        <v>0.63544067323491193</v>
      </c>
      <c r="BI9" s="3">
        <v>0.76315940949985039</v>
      </c>
      <c r="BJ9" s="3">
        <v>2.3309162742799443</v>
      </c>
      <c r="BK9" s="3">
        <v>4.6129268141766726</v>
      </c>
      <c r="BL9" s="3">
        <v>6.7621703938022861</v>
      </c>
      <c r="BM9" s="3">
        <v>10.664771040986286</v>
      </c>
      <c r="BN9" s="3">
        <v>10.098568998875907</v>
      </c>
      <c r="BO9" s="3">
        <v>7.3332463643303871</v>
      </c>
      <c r="BP9" s="3">
        <v>5.8858747938773321</v>
      </c>
      <c r="BQ9" s="3">
        <v>5.3402994114426257</v>
      </c>
      <c r="BR9" s="3">
        <v>4.937703131301209</v>
      </c>
      <c r="BS9" s="3">
        <v>4.3812116318114285</v>
      </c>
      <c r="BT9" s="3">
        <v>2.4670309537252599</v>
      </c>
      <c r="BU9" s="3">
        <v>0.38061251474262497</v>
      </c>
      <c r="BV9">
        <v>0</v>
      </c>
      <c r="BW9" s="13">
        <v>0.47</v>
      </c>
      <c r="BX9" s="13">
        <v>0.45</v>
      </c>
      <c r="BY9" s="13">
        <v>1.7</v>
      </c>
      <c r="BZ9" s="13">
        <v>2.0699999999999998</v>
      </c>
      <c r="CA9" s="13">
        <v>2.0099999999999998</v>
      </c>
      <c r="CB9" s="13">
        <v>0.75</v>
      </c>
      <c r="CC9" s="13">
        <v>0.71</v>
      </c>
      <c r="CD9" s="13">
        <v>0.66</v>
      </c>
      <c r="CE9" s="13">
        <v>0.28000000000000003</v>
      </c>
      <c r="CF9" s="13">
        <v>0</v>
      </c>
      <c r="CG9" s="13">
        <v>0</v>
      </c>
    </row>
    <row r="10" spans="1:85" x14ac:dyDescent="0.3">
      <c r="A10" t="s">
        <v>40</v>
      </c>
      <c r="B10">
        <v>210216</v>
      </c>
      <c r="C10">
        <v>210216</v>
      </c>
      <c r="D10">
        <v>210216</v>
      </c>
      <c r="E10">
        <v>210216</v>
      </c>
      <c r="F10">
        <v>210216</v>
      </c>
      <c r="G10">
        <v>210216</v>
      </c>
      <c r="H10">
        <v>210216</v>
      </c>
      <c r="I10">
        <v>210216</v>
      </c>
      <c r="J10">
        <v>210216</v>
      </c>
      <c r="K10">
        <v>210216</v>
      </c>
      <c r="L10">
        <v>210216</v>
      </c>
      <c r="M10">
        <v>210216</v>
      </c>
      <c r="N10">
        <v>213024</v>
      </c>
      <c r="O10">
        <v>213024</v>
      </c>
      <c r="P10">
        <v>213024</v>
      </c>
      <c r="Q10">
        <v>213024</v>
      </c>
      <c r="R10">
        <v>213024</v>
      </c>
      <c r="S10">
        <v>213024</v>
      </c>
      <c r="T10">
        <v>213024</v>
      </c>
      <c r="U10">
        <v>213024</v>
      </c>
      <c r="V10">
        <v>213024</v>
      </c>
      <c r="W10">
        <v>213024</v>
      </c>
      <c r="X10">
        <v>213024</v>
      </c>
      <c r="Y10">
        <v>213024</v>
      </c>
      <c r="Z10">
        <v>213024</v>
      </c>
      <c r="AA10">
        <v>213024</v>
      </c>
      <c r="AB10">
        <v>213024</v>
      </c>
      <c r="AC10">
        <v>300744</v>
      </c>
      <c r="AD10">
        <v>300744</v>
      </c>
      <c r="AE10">
        <v>300744</v>
      </c>
      <c r="AF10">
        <v>300744</v>
      </c>
      <c r="AG10">
        <v>300744</v>
      </c>
      <c r="AH10">
        <v>300744</v>
      </c>
      <c r="AI10">
        <v>300744</v>
      </c>
      <c r="AJ10">
        <v>300744</v>
      </c>
      <c r="AK10">
        <v>300744</v>
      </c>
      <c r="AL10" s="10">
        <v>300744</v>
      </c>
      <c r="AM10" s="10">
        <v>300744</v>
      </c>
      <c r="AN10" s="10">
        <v>300744</v>
      </c>
      <c r="AO10" s="10">
        <v>300744</v>
      </c>
      <c r="AP10" s="10">
        <v>300744</v>
      </c>
      <c r="AQ10" s="10">
        <v>300744</v>
      </c>
      <c r="AR10" s="10">
        <v>331920</v>
      </c>
      <c r="AS10" s="10">
        <v>331920</v>
      </c>
      <c r="AT10" s="10">
        <v>331920</v>
      </c>
      <c r="AU10" s="10">
        <v>331920</v>
      </c>
      <c r="AV10" s="10">
        <v>331920</v>
      </c>
      <c r="AW10" s="10">
        <v>331920</v>
      </c>
      <c r="AX10" s="10">
        <v>331920</v>
      </c>
      <c r="AY10" s="10">
        <v>331920</v>
      </c>
      <c r="AZ10" s="10">
        <v>331920</v>
      </c>
      <c r="BA10" s="10">
        <v>331920</v>
      </c>
      <c r="BB10" s="10">
        <v>331920</v>
      </c>
      <c r="BC10" s="10">
        <v>331920</v>
      </c>
      <c r="BD10" s="10">
        <v>331920</v>
      </c>
      <c r="BE10" s="10">
        <v>331920</v>
      </c>
      <c r="BF10" s="10">
        <v>331920</v>
      </c>
      <c r="BG10" s="10">
        <v>331920</v>
      </c>
      <c r="BH10" s="10">
        <v>331920</v>
      </c>
      <c r="BI10" s="10">
        <v>331920</v>
      </c>
      <c r="BJ10" s="10">
        <v>433176</v>
      </c>
      <c r="BK10" s="10">
        <v>433176</v>
      </c>
      <c r="BL10" s="10">
        <v>433176</v>
      </c>
      <c r="BM10" s="10">
        <v>433176</v>
      </c>
      <c r="BN10" s="10">
        <v>433176</v>
      </c>
      <c r="BO10" s="10">
        <v>433176</v>
      </c>
      <c r="BP10" s="16">
        <v>433176</v>
      </c>
      <c r="BQ10" s="16">
        <v>433176</v>
      </c>
      <c r="BR10" s="16">
        <v>433176</v>
      </c>
      <c r="BS10" s="16">
        <v>433176</v>
      </c>
      <c r="BT10" s="16">
        <v>433176</v>
      </c>
      <c r="BU10" s="16">
        <v>433176</v>
      </c>
      <c r="BV10" s="16">
        <v>433008</v>
      </c>
      <c r="BW10" s="12">
        <v>433008</v>
      </c>
      <c r="BX10" s="12">
        <v>433008</v>
      </c>
      <c r="BY10" s="12">
        <v>433008</v>
      </c>
      <c r="BZ10" s="12">
        <v>433008</v>
      </c>
      <c r="CA10" s="12">
        <v>433008</v>
      </c>
      <c r="CB10" s="12">
        <v>433008</v>
      </c>
      <c r="CC10" s="12">
        <v>433008</v>
      </c>
      <c r="CD10" s="12">
        <v>433008</v>
      </c>
      <c r="CE10" s="12">
        <v>433008</v>
      </c>
      <c r="CF10" s="12">
        <v>433008</v>
      </c>
      <c r="CG10" s="12">
        <v>433008</v>
      </c>
    </row>
    <row r="11" spans="1:85" x14ac:dyDescent="0.3">
      <c r="A11" t="s">
        <v>64</v>
      </c>
      <c r="B11">
        <v>105108</v>
      </c>
      <c r="C11">
        <v>105108</v>
      </c>
      <c r="D11">
        <v>105108</v>
      </c>
      <c r="E11">
        <v>105108</v>
      </c>
      <c r="F11">
        <v>105108</v>
      </c>
      <c r="G11">
        <v>105108</v>
      </c>
      <c r="H11">
        <v>105108</v>
      </c>
      <c r="I11">
        <v>105108</v>
      </c>
      <c r="J11">
        <v>105108</v>
      </c>
      <c r="K11">
        <v>105108</v>
      </c>
      <c r="L11">
        <v>105108</v>
      </c>
      <c r="M11">
        <v>105108</v>
      </c>
      <c r="N11">
        <v>106512</v>
      </c>
      <c r="O11">
        <v>106512</v>
      </c>
      <c r="P11">
        <v>106512</v>
      </c>
      <c r="Q11">
        <v>106512</v>
      </c>
      <c r="R11">
        <v>106512</v>
      </c>
      <c r="S11">
        <v>106512</v>
      </c>
      <c r="T11">
        <v>106512</v>
      </c>
      <c r="U11">
        <v>106512</v>
      </c>
      <c r="V11">
        <v>106512</v>
      </c>
      <c r="W11">
        <v>106512</v>
      </c>
      <c r="X11">
        <v>106512</v>
      </c>
      <c r="Y11">
        <v>106512</v>
      </c>
      <c r="Z11">
        <v>106512</v>
      </c>
      <c r="AA11">
        <v>106512</v>
      </c>
      <c r="AB11">
        <v>106512</v>
      </c>
      <c r="AC11">
        <v>150372</v>
      </c>
      <c r="AD11">
        <v>150372</v>
      </c>
      <c r="AE11">
        <v>150372</v>
      </c>
      <c r="AF11">
        <v>150372</v>
      </c>
      <c r="AG11">
        <v>150372</v>
      </c>
      <c r="AH11">
        <v>150372</v>
      </c>
      <c r="AI11">
        <v>150372</v>
      </c>
      <c r="AJ11">
        <v>150372</v>
      </c>
      <c r="AK11">
        <v>150372</v>
      </c>
      <c r="AL11" s="10">
        <v>150372</v>
      </c>
      <c r="AM11" s="10">
        <v>150372</v>
      </c>
      <c r="AN11" s="10">
        <v>150372</v>
      </c>
      <c r="AO11" s="10">
        <v>150372</v>
      </c>
      <c r="AP11" s="10">
        <v>150372</v>
      </c>
      <c r="AQ11" s="10">
        <v>150372</v>
      </c>
      <c r="AR11" s="10">
        <v>165960</v>
      </c>
      <c r="AS11" s="10">
        <v>165960</v>
      </c>
      <c r="AT11" s="10">
        <v>165960</v>
      </c>
      <c r="AU11" s="10">
        <v>165960</v>
      </c>
      <c r="AV11" s="10">
        <v>165960</v>
      </c>
      <c r="AW11" s="10">
        <v>165960</v>
      </c>
      <c r="AX11" s="10">
        <v>165960</v>
      </c>
      <c r="AY11" s="10">
        <v>165960</v>
      </c>
      <c r="AZ11" s="10">
        <v>165960</v>
      </c>
      <c r="BA11" s="10">
        <v>165960</v>
      </c>
      <c r="BB11" s="10">
        <v>165960</v>
      </c>
      <c r="BC11" s="10">
        <v>165960</v>
      </c>
      <c r="BD11" s="10">
        <v>165960</v>
      </c>
      <c r="BE11" s="10">
        <v>165960</v>
      </c>
      <c r="BF11" s="10">
        <v>165960</v>
      </c>
      <c r="BG11" s="10">
        <v>165960</v>
      </c>
      <c r="BH11" s="10">
        <v>165960</v>
      </c>
      <c r="BI11" s="10">
        <v>165960</v>
      </c>
      <c r="BJ11" s="10">
        <v>216588</v>
      </c>
      <c r="BK11" s="10">
        <v>216588</v>
      </c>
      <c r="BL11" s="10">
        <v>216588</v>
      </c>
      <c r="BM11" s="10">
        <v>216588</v>
      </c>
      <c r="BN11" s="10">
        <v>216588</v>
      </c>
      <c r="BO11" s="10">
        <v>216588</v>
      </c>
      <c r="BP11" s="16">
        <v>216588</v>
      </c>
      <c r="BQ11" s="16">
        <v>216588</v>
      </c>
      <c r="BR11" s="16">
        <v>216588</v>
      </c>
      <c r="BS11" s="16">
        <v>216588</v>
      </c>
      <c r="BT11" s="16">
        <v>216588</v>
      </c>
      <c r="BU11" s="16">
        <v>216588</v>
      </c>
      <c r="BV11" s="16">
        <v>216504</v>
      </c>
      <c r="BW11" s="12">
        <v>216504</v>
      </c>
      <c r="BX11" s="12">
        <v>216504</v>
      </c>
      <c r="BY11" s="12">
        <v>216504</v>
      </c>
      <c r="BZ11" s="12">
        <v>216504</v>
      </c>
      <c r="CA11" s="12">
        <v>216504</v>
      </c>
      <c r="CB11" s="12">
        <v>216504</v>
      </c>
      <c r="CC11" s="12">
        <v>216504</v>
      </c>
      <c r="CD11" s="12">
        <v>216504</v>
      </c>
      <c r="CE11" s="12">
        <v>216504</v>
      </c>
      <c r="CF11" s="12">
        <v>216504</v>
      </c>
      <c r="CG11" s="12">
        <v>216504</v>
      </c>
    </row>
    <row r="12" spans="1:85" x14ac:dyDescent="0.3">
      <c r="A12" t="s">
        <v>42</v>
      </c>
      <c r="B12">
        <v>105108</v>
      </c>
      <c r="C12">
        <v>105108</v>
      </c>
      <c r="D12">
        <v>105108</v>
      </c>
      <c r="E12">
        <v>105108</v>
      </c>
      <c r="F12">
        <v>105108</v>
      </c>
      <c r="G12">
        <v>105108</v>
      </c>
      <c r="H12">
        <v>105108</v>
      </c>
      <c r="I12">
        <v>105108</v>
      </c>
      <c r="J12">
        <v>105108</v>
      </c>
      <c r="K12">
        <v>105108</v>
      </c>
      <c r="L12">
        <v>105108</v>
      </c>
      <c r="M12">
        <v>105108</v>
      </c>
      <c r="N12">
        <v>106512</v>
      </c>
      <c r="O12">
        <v>106512</v>
      </c>
      <c r="P12">
        <v>106512</v>
      </c>
      <c r="Q12">
        <v>106512</v>
      </c>
      <c r="R12">
        <v>106512</v>
      </c>
      <c r="S12">
        <v>106512</v>
      </c>
      <c r="T12">
        <v>106512</v>
      </c>
      <c r="U12">
        <v>106512</v>
      </c>
      <c r="V12">
        <v>106512</v>
      </c>
      <c r="W12">
        <v>106512</v>
      </c>
      <c r="X12">
        <v>106512</v>
      </c>
      <c r="Y12">
        <v>106512</v>
      </c>
      <c r="Z12">
        <v>106512</v>
      </c>
      <c r="AA12">
        <v>106512</v>
      </c>
      <c r="AB12">
        <v>106512</v>
      </c>
      <c r="AC12">
        <v>150372</v>
      </c>
      <c r="AD12">
        <v>150372</v>
      </c>
      <c r="AE12">
        <v>150372</v>
      </c>
      <c r="AF12">
        <v>150372</v>
      </c>
      <c r="AG12">
        <v>150372</v>
      </c>
      <c r="AH12">
        <v>150372</v>
      </c>
      <c r="AI12">
        <v>150372</v>
      </c>
      <c r="AJ12">
        <v>150372</v>
      </c>
      <c r="AK12">
        <v>150372</v>
      </c>
      <c r="AL12" s="10">
        <v>150372</v>
      </c>
      <c r="AM12" s="10">
        <v>150372</v>
      </c>
      <c r="AN12" s="10">
        <v>150372</v>
      </c>
      <c r="AO12" s="10">
        <v>150372</v>
      </c>
      <c r="AP12" s="10">
        <v>150372</v>
      </c>
      <c r="AQ12" s="10">
        <v>150372</v>
      </c>
      <c r="AR12" s="10">
        <v>165960</v>
      </c>
      <c r="AS12" s="10">
        <v>165960</v>
      </c>
      <c r="AT12" s="10">
        <v>165960</v>
      </c>
      <c r="AU12" s="10">
        <v>165960</v>
      </c>
      <c r="AV12" s="10">
        <v>165960</v>
      </c>
      <c r="AW12" s="10">
        <v>165960</v>
      </c>
      <c r="AX12" s="10">
        <v>165960</v>
      </c>
      <c r="AY12" s="10">
        <v>165960</v>
      </c>
      <c r="AZ12" s="10">
        <v>165960</v>
      </c>
      <c r="BA12" s="10">
        <v>165960</v>
      </c>
      <c r="BB12" s="10">
        <v>165960</v>
      </c>
      <c r="BC12" s="10">
        <v>165960</v>
      </c>
      <c r="BD12" s="10">
        <v>165960</v>
      </c>
      <c r="BE12" s="10">
        <v>165960</v>
      </c>
      <c r="BF12" s="10">
        <v>165960</v>
      </c>
      <c r="BG12" s="10">
        <v>165960</v>
      </c>
      <c r="BH12" s="10">
        <v>165960</v>
      </c>
      <c r="BI12" s="10">
        <v>165960</v>
      </c>
      <c r="BJ12" s="10">
        <v>216588</v>
      </c>
      <c r="BK12" s="10">
        <v>216588</v>
      </c>
      <c r="BL12" s="10">
        <v>216588</v>
      </c>
      <c r="BM12" s="10">
        <v>216588</v>
      </c>
      <c r="BN12" s="10">
        <v>216588</v>
      </c>
      <c r="BO12" s="10">
        <v>216588</v>
      </c>
      <c r="BP12" s="16">
        <v>216588</v>
      </c>
      <c r="BQ12" s="16">
        <v>216588</v>
      </c>
      <c r="BR12" s="16">
        <v>216588</v>
      </c>
      <c r="BS12" s="16">
        <v>216588</v>
      </c>
      <c r="BT12" s="16">
        <v>216588</v>
      </c>
      <c r="BU12" s="16">
        <v>216588</v>
      </c>
      <c r="BV12" s="16">
        <v>216504</v>
      </c>
      <c r="BW12" s="12">
        <v>216504</v>
      </c>
      <c r="BX12" s="12">
        <v>216504</v>
      </c>
      <c r="BY12" s="12">
        <v>216504</v>
      </c>
      <c r="BZ12" s="12">
        <v>216504</v>
      </c>
      <c r="CA12" s="12">
        <v>216504</v>
      </c>
      <c r="CB12" s="12">
        <v>216504</v>
      </c>
      <c r="CC12" s="12">
        <v>216504</v>
      </c>
      <c r="CD12" s="12">
        <v>216504</v>
      </c>
      <c r="CE12" s="12">
        <v>216504</v>
      </c>
      <c r="CF12" s="12">
        <v>216504</v>
      </c>
      <c r="CG12" s="12">
        <v>216504</v>
      </c>
    </row>
    <row r="13" spans="1:85" x14ac:dyDescent="0.3">
      <c r="A13" t="s">
        <v>43</v>
      </c>
      <c r="B13">
        <v>3504</v>
      </c>
      <c r="C13">
        <v>3504</v>
      </c>
      <c r="D13">
        <v>3504</v>
      </c>
      <c r="E13">
        <v>3504</v>
      </c>
      <c r="F13">
        <v>3504</v>
      </c>
      <c r="G13">
        <v>3504</v>
      </c>
      <c r="H13">
        <v>3504</v>
      </c>
      <c r="I13">
        <v>3504</v>
      </c>
      <c r="J13">
        <v>3504</v>
      </c>
      <c r="K13">
        <v>3504</v>
      </c>
      <c r="L13">
        <v>3504</v>
      </c>
      <c r="M13">
        <v>3504</v>
      </c>
      <c r="N13">
        <v>3552</v>
      </c>
      <c r="O13">
        <v>3552</v>
      </c>
      <c r="P13">
        <v>3552</v>
      </c>
      <c r="Q13">
        <v>3552</v>
      </c>
      <c r="R13">
        <v>3552</v>
      </c>
      <c r="S13">
        <v>3552</v>
      </c>
      <c r="T13">
        <v>3552</v>
      </c>
      <c r="U13">
        <v>3552</v>
      </c>
      <c r="V13">
        <v>3552</v>
      </c>
      <c r="W13">
        <v>3552</v>
      </c>
      <c r="X13">
        <v>3552</v>
      </c>
      <c r="Y13">
        <v>3552</v>
      </c>
      <c r="Z13">
        <v>3552</v>
      </c>
      <c r="AA13">
        <v>3552</v>
      </c>
      <c r="AB13">
        <v>3552</v>
      </c>
      <c r="AC13">
        <v>5016</v>
      </c>
      <c r="AD13">
        <v>5016</v>
      </c>
      <c r="AE13">
        <v>5016</v>
      </c>
      <c r="AF13">
        <v>5016</v>
      </c>
      <c r="AG13">
        <v>5016</v>
      </c>
      <c r="AH13">
        <v>5016</v>
      </c>
      <c r="AI13">
        <v>5016</v>
      </c>
      <c r="AJ13">
        <v>5016</v>
      </c>
      <c r="AK13">
        <v>5016</v>
      </c>
      <c r="AL13" s="10">
        <v>5016</v>
      </c>
      <c r="AM13" s="10">
        <v>5016</v>
      </c>
      <c r="AN13" s="10">
        <v>5016</v>
      </c>
      <c r="AO13" s="10">
        <v>5016</v>
      </c>
      <c r="AP13" s="10">
        <v>5016</v>
      </c>
      <c r="AQ13" s="10">
        <v>5016</v>
      </c>
      <c r="AR13" s="10">
        <v>5532</v>
      </c>
      <c r="AS13" s="10">
        <v>5532</v>
      </c>
      <c r="AT13" s="10">
        <v>5532</v>
      </c>
      <c r="AU13" s="10">
        <v>5532</v>
      </c>
      <c r="AV13" s="10">
        <v>5532</v>
      </c>
      <c r="AW13" s="10">
        <v>5532</v>
      </c>
      <c r="AX13" s="10">
        <v>5532</v>
      </c>
      <c r="AY13" s="10">
        <v>5532</v>
      </c>
      <c r="AZ13" s="10">
        <v>5532</v>
      </c>
      <c r="BA13" s="10">
        <v>5532</v>
      </c>
      <c r="BB13" s="10">
        <v>5532</v>
      </c>
      <c r="BC13" s="10">
        <v>5532</v>
      </c>
      <c r="BD13" s="10">
        <v>5532</v>
      </c>
      <c r="BE13" s="10">
        <v>5532</v>
      </c>
      <c r="BF13" s="10">
        <v>5532</v>
      </c>
      <c r="BG13" s="10">
        <v>5532</v>
      </c>
      <c r="BH13" s="10">
        <v>5532</v>
      </c>
      <c r="BI13" s="10">
        <v>5532</v>
      </c>
      <c r="BJ13" s="10">
        <v>7224</v>
      </c>
      <c r="BK13" s="10">
        <v>7224</v>
      </c>
      <c r="BL13" s="10">
        <v>7224</v>
      </c>
      <c r="BM13" s="10">
        <v>7224</v>
      </c>
      <c r="BN13" s="10">
        <v>7224</v>
      </c>
      <c r="BO13" s="10">
        <v>7224</v>
      </c>
      <c r="BP13" s="16">
        <v>7224</v>
      </c>
      <c r="BQ13" s="16">
        <v>7224</v>
      </c>
      <c r="BR13" s="16">
        <v>7224</v>
      </c>
      <c r="BS13" s="16">
        <v>7224</v>
      </c>
      <c r="BT13" s="16">
        <v>7224</v>
      </c>
      <c r="BU13" s="16">
        <v>7224</v>
      </c>
      <c r="BV13" s="16">
        <v>7212</v>
      </c>
      <c r="BW13" s="12">
        <v>7212</v>
      </c>
      <c r="BX13" s="12">
        <v>7212</v>
      </c>
      <c r="BY13" s="12">
        <v>7212</v>
      </c>
      <c r="BZ13" s="12">
        <v>7212</v>
      </c>
      <c r="CA13" s="12">
        <v>7212</v>
      </c>
      <c r="CB13" s="12">
        <v>7212</v>
      </c>
      <c r="CC13" s="12">
        <v>7212</v>
      </c>
      <c r="CD13" s="12">
        <v>7212</v>
      </c>
      <c r="CE13" s="12">
        <v>7212</v>
      </c>
      <c r="CF13" s="12">
        <v>7212</v>
      </c>
      <c r="CG13" s="12">
        <v>7212</v>
      </c>
    </row>
    <row r="14" spans="1:85" x14ac:dyDescent="0.3">
      <c r="A14" t="s">
        <v>44</v>
      </c>
      <c r="B14">
        <v>35040</v>
      </c>
      <c r="C14">
        <v>35040</v>
      </c>
      <c r="D14">
        <v>35040</v>
      </c>
      <c r="E14">
        <v>35040</v>
      </c>
      <c r="F14">
        <v>35040</v>
      </c>
      <c r="G14">
        <v>35040</v>
      </c>
      <c r="H14">
        <v>35040</v>
      </c>
      <c r="I14">
        <v>35040</v>
      </c>
      <c r="J14">
        <v>35040</v>
      </c>
      <c r="K14">
        <v>35040</v>
      </c>
      <c r="L14">
        <v>35040</v>
      </c>
      <c r="M14">
        <v>35040</v>
      </c>
      <c r="N14">
        <v>35508</v>
      </c>
      <c r="O14">
        <v>35508</v>
      </c>
      <c r="P14">
        <v>35508</v>
      </c>
      <c r="Q14">
        <v>35508</v>
      </c>
      <c r="R14">
        <v>35508</v>
      </c>
      <c r="S14">
        <v>35508</v>
      </c>
      <c r="T14">
        <v>35508</v>
      </c>
      <c r="U14">
        <v>35508</v>
      </c>
      <c r="V14">
        <v>35508</v>
      </c>
      <c r="W14">
        <v>35508</v>
      </c>
      <c r="X14">
        <v>35508</v>
      </c>
      <c r="Y14">
        <v>35508</v>
      </c>
      <c r="Z14">
        <v>35508</v>
      </c>
      <c r="AA14">
        <v>35508</v>
      </c>
      <c r="AB14">
        <v>35508</v>
      </c>
      <c r="AC14">
        <v>50124</v>
      </c>
      <c r="AD14">
        <v>50124</v>
      </c>
      <c r="AE14">
        <v>50124</v>
      </c>
      <c r="AF14">
        <v>50124</v>
      </c>
      <c r="AG14">
        <v>50124</v>
      </c>
      <c r="AH14">
        <v>50124</v>
      </c>
      <c r="AI14">
        <v>50124</v>
      </c>
      <c r="AJ14">
        <v>50124</v>
      </c>
      <c r="AK14">
        <v>50124</v>
      </c>
      <c r="AL14" s="10">
        <v>50124</v>
      </c>
      <c r="AM14" s="10">
        <v>50124</v>
      </c>
      <c r="AN14" s="10">
        <v>50124</v>
      </c>
      <c r="AO14" s="10">
        <v>50124</v>
      </c>
      <c r="AP14" s="10">
        <v>50124</v>
      </c>
      <c r="AQ14" s="10">
        <v>50124</v>
      </c>
      <c r="AR14" s="10">
        <v>55320</v>
      </c>
      <c r="AS14" s="10">
        <v>55320</v>
      </c>
      <c r="AT14" s="10">
        <v>55320</v>
      </c>
      <c r="AU14" s="10">
        <v>55320</v>
      </c>
      <c r="AV14" s="10">
        <v>55320</v>
      </c>
      <c r="AW14" s="10">
        <v>55320</v>
      </c>
      <c r="AX14" s="10">
        <v>55320</v>
      </c>
      <c r="AY14" s="10">
        <v>55320</v>
      </c>
      <c r="AZ14" s="10">
        <v>55320</v>
      </c>
      <c r="BA14" s="10">
        <v>55320</v>
      </c>
      <c r="BB14" s="10">
        <v>55320</v>
      </c>
      <c r="BC14" s="10">
        <v>55320</v>
      </c>
      <c r="BD14" s="10">
        <v>55320</v>
      </c>
      <c r="BE14" s="10">
        <v>55320</v>
      </c>
      <c r="BF14" s="10">
        <v>55320</v>
      </c>
      <c r="BG14" s="10">
        <v>55320</v>
      </c>
      <c r="BH14" s="10">
        <v>55320</v>
      </c>
      <c r="BI14" s="10">
        <v>55320</v>
      </c>
      <c r="BJ14" s="10">
        <v>72192</v>
      </c>
      <c r="BK14" s="10">
        <v>72192</v>
      </c>
      <c r="BL14" s="10">
        <v>72192</v>
      </c>
      <c r="BM14" s="10">
        <v>72192</v>
      </c>
      <c r="BN14" s="10">
        <v>72192</v>
      </c>
      <c r="BO14" s="10">
        <v>72192</v>
      </c>
      <c r="BP14" s="16">
        <v>72192</v>
      </c>
      <c r="BQ14" s="16">
        <v>72192</v>
      </c>
      <c r="BR14" s="16">
        <v>72192</v>
      </c>
      <c r="BS14" s="16">
        <v>72192</v>
      </c>
      <c r="BT14" s="16">
        <v>72192</v>
      </c>
      <c r="BU14" s="16">
        <v>72192</v>
      </c>
      <c r="BV14" s="16">
        <v>72168</v>
      </c>
      <c r="BW14" s="12">
        <v>72168</v>
      </c>
      <c r="BX14" s="12">
        <v>72168</v>
      </c>
      <c r="BY14" s="12">
        <v>72168</v>
      </c>
      <c r="BZ14" s="12">
        <v>72168</v>
      </c>
      <c r="CA14" s="12">
        <v>72168</v>
      </c>
      <c r="CB14" s="12">
        <v>72168</v>
      </c>
      <c r="CC14" s="12">
        <v>72168</v>
      </c>
      <c r="CD14" s="12">
        <v>72168</v>
      </c>
      <c r="CE14" s="12">
        <v>72168</v>
      </c>
      <c r="CF14" s="12">
        <v>72168</v>
      </c>
      <c r="CG14" s="12">
        <v>72168</v>
      </c>
    </row>
    <row r="15" spans="1:85" x14ac:dyDescent="0.3">
      <c r="A15" t="s">
        <v>65</v>
      </c>
      <c r="B15">
        <v>1446</v>
      </c>
      <c r="C15">
        <v>1446</v>
      </c>
      <c r="D15">
        <v>1446</v>
      </c>
      <c r="E15">
        <v>1446</v>
      </c>
      <c r="F15">
        <v>1446</v>
      </c>
      <c r="G15">
        <v>1446</v>
      </c>
      <c r="H15">
        <v>1446</v>
      </c>
      <c r="I15">
        <v>1446</v>
      </c>
      <c r="J15">
        <v>1446</v>
      </c>
      <c r="K15">
        <v>1446</v>
      </c>
      <c r="L15">
        <v>1446</v>
      </c>
      <c r="M15">
        <v>1446</v>
      </c>
      <c r="N15">
        <v>1446</v>
      </c>
      <c r="O15">
        <v>1446</v>
      </c>
      <c r="P15">
        <v>1446</v>
      </c>
      <c r="Q15">
        <v>1446</v>
      </c>
      <c r="R15">
        <v>1446</v>
      </c>
      <c r="S15">
        <v>1446</v>
      </c>
      <c r="T15">
        <v>1446</v>
      </c>
      <c r="U15">
        <v>1446</v>
      </c>
      <c r="V15">
        <v>1446</v>
      </c>
      <c r="W15">
        <v>1446</v>
      </c>
      <c r="X15">
        <v>1446</v>
      </c>
      <c r="Y15">
        <v>1446</v>
      </c>
      <c r="Z15">
        <v>1446</v>
      </c>
      <c r="AA15">
        <v>1446</v>
      </c>
      <c r="AB15">
        <v>1446</v>
      </c>
      <c r="AC15">
        <v>1446</v>
      </c>
      <c r="AD15">
        <v>1446</v>
      </c>
      <c r="AE15">
        <v>1446</v>
      </c>
      <c r="AF15">
        <v>1446</v>
      </c>
      <c r="AG15">
        <v>1446</v>
      </c>
      <c r="AH15">
        <v>1446</v>
      </c>
      <c r="AI15">
        <v>1446</v>
      </c>
      <c r="AJ15">
        <v>1446</v>
      </c>
      <c r="AK15">
        <v>1446</v>
      </c>
      <c r="AL15" s="10">
        <v>1446</v>
      </c>
      <c r="AM15" s="10">
        <v>1446</v>
      </c>
      <c r="AN15" s="10">
        <v>1446</v>
      </c>
      <c r="AO15" s="10">
        <v>1446</v>
      </c>
      <c r="AP15" s="10">
        <v>1446</v>
      </c>
      <c r="AQ15" s="10">
        <v>1446</v>
      </c>
      <c r="AR15" s="10">
        <v>1446</v>
      </c>
      <c r="AS15" s="10">
        <v>1446</v>
      </c>
      <c r="AT15" s="10">
        <v>1446</v>
      </c>
      <c r="AU15" s="10">
        <v>1446</v>
      </c>
      <c r="AV15" s="10">
        <v>1446</v>
      </c>
      <c r="AW15" s="10">
        <v>1446</v>
      </c>
      <c r="AX15" s="10">
        <v>1446</v>
      </c>
      <c r="AY15" s="10">
        <v>1446</v>
      </c>
      <c r="AZ15" s="10">
        <v>1446</v>
      </c>
      <c r="BA15" s="10">
        <v>1446</v>
      </c>
      <c r="BB15" s="10">
        <v>1446</v>
      </c>
      <c r="BC15" s="10">
        <v>1446</v>
      </c>
      <c r="BD15" s="10">
        <v>1446</v>
      </c>
      <c r="BE15" s="10">
        <v>1446</v>
      </c>
      <c r="BF15" s="10">
        <v>1446</v>
      </c>
      <c r="BG15" s="10">
        <v>1446</v>
      </c>
      <c r="BH15" s="10">
        <v>1446</v>
      </c>
      <c r="BI15" s="10">
        <v>1446</v>
      </c>
      <c r="BJ15" s="10">
        <v>1446</v>
      </c>
      <c r="BK15" s="10">
        <v>1446</v>
      </c>
      <c r="BL15" s="10">
        <v>1446</v>
      </c>
      <c r="BM15" s="10">
        <v>1446</v>
      </c>
      <c r="BN15" s="10">
        <v>1446</v>
      </c>
      <c r="BO15" s="10">
        <v>1446</v>
      </c>
      <c r="BP15" s="16">
        <v>1446</v>
      </c>
      <c r="BQ15" s="16">
        <v>1446</v>
      </c>
      <c r="BR15" s="16">
        <v>1446</v>
      </c>
      <c r="BS15" s="16">
        <v>1446</v>
      </c>
      <c r="BT15" s="16">
        <v>1446</v>
      </c>
      <c r="BU15" s="16">
        <v>1446</v>
      </c>
      <c r="BV15" s="16">
        <v>1446</v>
      </c>
      <c r="BW15" s="12">
        <v>1446</v>
      </c>
      <c r="BX15" s="12">
        <v>1446</v>
      </c>
      <c r="BY15" s="12">
        <v>1446</v>
      </c>
      <c r="BZ15" s="12">
        <v>1446</v>
      </c>
      <c r="CA15" s="12">
        <v>1446</v>
      </c>
      <c r="CB15" s="12">
        <v>1446</v>
      </c>
      <c r="CC15" s="12">
        <v>1446</v>
      </c>
      <c r="CD15" s="12">
        <v>1446</v>
      </c>
      <c r="CE15" s="12">
        <v>1446</v>
      </c>
      <c r="CF15" s="12">
        <v>1446</v>
      </c>
      <c r="CG15" s="12">
        <v>1446</v>
      </c>
    </row>
    <row r="16" spans="1:85" x14ac:dyDescent="0.3">
      <c r="A16" t="s">
        <v>66</v>
      </c>
      <c r="B16">
        <v>474</v>
      </c>
      <c r="C16">
        <v>474</v>
      </c>
      <c r="D16">
        <v>474</v>
      </c>
      <c r="E16">
        <v>474</v>
      </c>
      <c r="F16">
        <v>474</v>
      </c>
      <c r="G16">
        <v>474</v>
      </c>
      <c r="H16">
        <v>474</v>
      </c>
      <c r="I16">
        <v>474</v>
      </c>
      <c r="J16">
        <v>474</v>
      </c>
      <c r="K16">
        <v>474</v>
      </c>
      <c r="L16">
        <v>474</v>
      </c>
      <c r="M16">
        <v>474</v>
      </c>
      <c r="N16">
        <v>474</v>
      </c>
      <c r="O16">
        <v>474</v>
      </c>
      <c r="P16">
        <v>474</v>
      </c>
      <c r="Q16">
        <v>474</v>
      </c>
      <c r="R16">
        <v>474</v>
      </c>
      <c r="S16">
        <v>474</v>
      </c>
      <c r="T16">
        <v>474</v>
      </c>
      <c r="U16">
        <v>474</v>
      </c>
      <c r="V16">
        <v>474</v>
      </c>
      <c r="W16">
        <v>474</v>
      </c>
      <c r="X16">
        <v>474</v>
      </c>
      <c r="Y16">
        <v>474</v>
      </c>
      <c r="Z16">
        <v>474</v>
      </c>
      <c r="AA16">
        <v>474</v>
      </c>
      <c r="AB16">
        <v>474</v>
      </c>
      <c r="AC16">
        <v>474</v>
      </c>
      <c r="AD16">
        <v>474</v>
      </c>
      <c r="AE16">
        <v>474</v>
      </c>
      <c r="AF16">
        <v>474</v>
      </c>
      <c r="AG16">
        <v>474</v>
      </c>
      <c r="AH16">
        <v>474</v>
      </c>
      <c r="AI16">
        <v>474</v>
      </c>
      <c r="AJ16">
        <v>474</v>
      </c>
      <c r="AK16">
        <v>474</v>
      </c>
      <c r="AL16" s="10">
        <v>474</v>
      </c>
      <c r="AM16" s="10">
        <v>474</v>
      </c>
      <c r="AN16" s="10">
        <v>474</v>
      </c>
      <c r="AO16" s="10">
        <v>474</v>
      </c>
      <c r="AP16" s="10">
        <v>474</v>
      </c>
      <c r="AQ16" s="10">
        <v>474</v>
      </c>
      <c r="AR16" s="10">
        <v>474</v>
      </c>
      <c r="AS16" s="10">
        <v>474</v>
      </c>
      <c r="AT16" s="10">
        <v>474</v>
      </c>
      <c r="AU16" s="10">
        <v>474</v>
      </c>
      <c r="AV16" s="10">
        <v>474</v>
      </c>
      <c r="AW16" s="10">
        <v>474</v>
      </c>
      <c r="AX16" s="10">
        <v>474</v>
      </c>
      <c r="AY16" s="10">
        <v>474</v>
      </c>
      <c r="AZ16" s="10">
        <v>474</v>
      </c>
      <c r="BA16" s="10">
        <v>474</v>
      </c>
      <c r="BB16" s="10">
        <v>474</v>
      </c>
      <c r="BC16" s="10">
        <v>474</v>
      </c>
      <c r="BD16" s="10">
        <v>474</v>
      </c>
      <c r="BE16" s="10">
        <v>474</v>
      </c>
      <c r="BF16" s="10">
        <v>474</v>
      </c>
      <c r="BG16" s="10">
        <v>474</v>
      </c>
      <c r="BH16" s="10">
        <v>474</v>
      </c>
      <c r="BI16" s="10">
        <v>474</v>
      </c>
      <c r="BJ16" s="10">
        <v>474</v>
      </c>
      <c r="BK16" s="10">
        <v>474</v>
      </c>
      <c r="BL16" s="10">
        <v>474</v>
      </c>
      <c r="BM16" s="10">
        <v>474</v>
      </c>
      <c r="BN16" s="10">
        <v>474</v>
      </c>
      <c r="BO16" s="10">
        <v>474</v>
      </c>
      <c r="BP16" s="16">
        <v>474</v>
      </c>
      <c r="BQ16" s="16">
        <v>474</v>
      </c>
      <c r="BR16" s="16">
        <v>474</v>
      </c>
      <c r="BS16" s="16">
        <v>474</v>
      </c>
      <c r="BT16" s="16">
        <v>474</v>
      </c>
      <c r="BU16" s="16">
        <v>474</v>
      </c>
      <c r="BV16" s="16">
        <v>474</v>
      </c>
      <c r="BW16" s="12">
        <v>474</v>
      </c>
      <c r="BX16" s="12">
        <v>474</v>
      </c>
      <c r="BY16" s="12">
        <v>474</v>
      </c>
      <c r="BZ16" s="12">
        <v>474</v>
      </c>
      <c r="CA16" s="12">
        <v>474</v>
      </c>
      <c r="CB16" s="12">
        <v>474</v>
      </c>
      <c r="CC16" s="12">
        <v>474</v>
      </c>
      <c r="CD16" s="12">
        <v>474</v>
      </c>
      <c r="CE16" s="12">
        <v>474</v>
      </c>
      <c r="CF16" s="12">
        <v>474</v>
      </c>
      <c r="CG16" s="12">
        <v>474</v>
      </c>
    </row>
    <row r="17" spans="1:85" x14ac:dyDescent="0.3">
      <c r="A17" t="s">
        <v>67</v>
      </c>
      <c r="B17">
        <v>35040</v>
      </c>
      <c r="C17">
        <v>35040</v>
      </c>
      <c r="D17">
        <v>35040</v>
      </c>
      <c r="E17">
        <v>35040</v>
      </c>
      <c r="F17">
        <v>35040</v>
      </c>
      <c r="G17">
        <v>35040</v>
      </c>
      <c r="H17">
        <v>35040</v>
      </c>
      <c r="I17">
        <v>35040</v>
      </c>
      <c r="J17">
        <v>35040</v>
      </c>
      <c r="K17">
        <v>35040</v>
      </c>
      <c r="L17">
        <v>35040</v>
      </c>
      <c r="M17">
        <v>35040</v>
      </c>
      <c r="N17">
        <v>35508</v>
      </c>
      <c r="O17">
        <v>35508</v>
      </c>
      <c r="P17">
        <v>35508</v>
      </c>
      <c r="Q17">
        <v>35508</v>
      </c>
      <c r="R17">
        <v>35508</v>
      </c>
      <c r="S17">
        <v>35508</v>
      </c>
      <c r="T17">
        <v>35508</v>
      </c>
      <c r="U17">
        <v>35508</v>
      </c>
      <c r="V17">
        <v>35508</v>
      </c>
      <c r="W17">
        <v>35508</v>
      </c>
      <c r="X17">
        <v>35508</v>
      </c>
      <c r="Y17">
        <v>35508</v>
      </c>
      <c r="Z17">
        <v>35508</v>
      </c>
      <c r="AA17">
        <v>35508</v>
      </c>
      <c r="AB17">
        <v>35508</v>
      </c>
      <c r="AC17">
        <v>50124</v>
      </c>
      <c r="AD17">
        <v>50124</v>
      </c>
      <c r="AE17">
        <v>50124</v>
      </c>
      <c r="AF17">
        <v>50124</v>
      </c>
      <c r="AG17">
        <v>50124</v>
      </c>
      <c r="AH17">
        <v>50124</v>
      </c>
      <c r="AI17">
        <v>50124</v>
      </c>
      <c r="AJ17">
        <v>50124</v>
      </c>
      <c r="AK17">
        <v>50124</v>
      </c>
      <c r="AL17" s="10">
        <v>50124</v>
      </c>
      <c r="AM17" s="10">
        <v>50124</v>
      </c>
      <c r="AN17" s="10">
        <v>50124</v>
      </c>
      <c r="AO17" s="10">
        <v>50124</v>
      </c>
      <c r="AP17" s="10">
        <v>50124</v>
      </c>
      <c r="AQ17" s="10">
        <v>50124</v>
      </c>
      <c r="AR17" s="10">
        <v>55320</v>
      </c>
      <c r="AS17" s="10">
        <v>55320</v>
      </c>
      <c r="AT17" s="10">
        <v>55320</v>
      </c>
      <c r="AU17" s="10">
        <v>55320</v>
      </c>
      <c r="AV17" s="10">
        <v>55320</v>
      </c>
      <c r="AW17" s="10">
        <v>55320</v>
      </c>
      <c r="AX17" s="10">
        <v>55320</v>
      </c>
      <c r="AY17" s="10">
        <v>55320</v>
      </c>
      <c r="AZ17" s="10">
        <v>55320</v>
      </c>
      <c r="BA17" s="10">
        <v>55320</v>
      </c>
      <c r="BB17" s="10">
        <v>55320</v>
      </c>
      <c r="BC17" s="10">
        <v>55320</v>
      </c>
      <c r="BD17" s="10">
        <v>55320</v>
      </c>
      <c r="BE17" s="10">
        <v>55320</v>
      </c>
      <c r="BF17" s="10">
        <v>55320</v>
      </c>
      <c r="BG17" s="10">
        <v>55320</v>
      </c>
      <c r="BH17" s="10">
        <v>55320</v>
      </c>
      <c r="BI17" s="10">
        <v>55320</v>
      </c>
      <c r="BJ17" s="10">
        <v>72192</v>
      </c>
      <c r="BK17" s="10">
        <v>72192</v>
      </c>
      <c r="BL17" s="10">
        <v>72192</v>
      </c>
      <c r="BM17" s="10">
        <v>72192</v>
      </c>
      <c r="BN17" s="10">
        <v>72192</v>
      </c>
      <c r="BO17" s="10">
        <v>72192</v>
      </c>
      <c r="BP17" s="16">
        <v>72192</v>
      </c>
      <c r="BQ17" s="16">
        <v>72192</v>
      </c>
      <c r="BR17" s="16">
        <v>72192</v>
      </c>
      <c r="BS17" s="16">
        <v>72192</v>
      </c>
      <c r="BT17" s="16">
        <v>72192</v>
      </c>
      <c r="BU17" s="16">
        <v>72192</v>
      </c>
      <c r="BV17" s="16">
        <v>72168</v>
      </c>
      <c r="BW17" s="12">
        <v>72168</v>
      </c>
      <c r="BX17" s="12">
        <v>72168</v>
      </c>
      <c r="BY17" s="12">
        <v>72168</v>
      </c>
      <c r="BZ17" s="12">
        <v>72168</v>
      </c>
      <c r="CA17" s="12">
        <v>72168</v>
      </c>
      <c r="CB17" s="12">
        <v>72168</v>
      </c>
      <c r="CC17" s="12">
        <v>72168</v>
      </c>
      <c r="CD17" s="12">
        <v>72168</v>
      </c>
      <c r="CE17" s="12">
        <v>72168</v>
      </c>
      <c r="CF17" s="12">
        <v>72168</v>
      </c>
      <c r="CG17" s="12">
        <v>72168</v>
      </c>
    </row>
    <row r="18" spans="1:85" x14ac:dyDescent="0.3">
      <c r="A18" t="s">
        <v>45</v>
      </c>
      <c r="B18" s="2">
        <v>1488</v>
      </c>
      <c r="C18" s="2">
        <v>1488</v>
      </c>
      <c r="D18" s="2">
        <v>1488</v>
      </c>
      <c r="E18" s="2">
        <v>1488</v>
      </c>
      <c r="F18" s="2">
        <v>1488</v>
      </c>
      <c r="G18" s="2">
        <v>1488</v>
      </c>
      <c r="H18" s="2">
        <v>1488</v>
      </c>
      <c r="I18" s="2">
        <v>1488</v>
      </c>
      <c r="J18" s="2">
        <v>1488</v>
      </c>
      <c r="K18" s="2">
        <v>1488</v>
      </c>
      <c r="L18" s="2">
        <v>1488</v>
      </c>
      <c r="M18" s="2">
        <v>1488</v>
      </c>
      <c r="N18">
        <v>1536</v>
      </c>
      <c r="O18">
        <v>1536</v>
      </c>
      <c r="P18">
        <v>1536</v>
      </c>
      <c r="Q18">
        <v>1536</v>
      </c>
      <c r="R18">
        <v>1536</v>
      </c>
      <c r="S18">
        <v>1536</v>
      </c>
      <c r="T18">
        <v>1536</v>
      </c>
      <c r="U18">
        <v>1536</v>
      </c>
      <c r="V18">
        <v>1536</v>
      </c>
      <c r="W18">
        <v>1536</v>
      </c>
      <c r="X18">
        <v>1536</v>
      </c>
      <c r="Y18">
        <v>1536</v>
      </c>
      <c r="Z18">
        <v>1536</v>
      </c>
      <c r="AA18">
        <v>1536</v>
      </c>
      <c r="AB18">
        <v>1536</v>
      </c>
      <c r="AC18">
        <v>1560</v>
      </c>
      <c r="AD18">
        <v>1560</v>
      </c>
      <c r="AE18">
        <v>1560</v>
      </c>
      <c r="AF18">
        <v>1560</v>
      </c>
      <c r="AG18">
        <v>1560</v>
      </c>
      <c r="AH18">
        <v>1560</v>
      </c>
      <c r="AI18">
        <v>1560</v>
      </c>
      <c r="AJ18">
        <v>1560</v>
      </c>
      <c r="AK18">
        <v>1560</v>
      </c>
      <c r="AL18" s="10">
        <v>1560</v>
      </c>
      <c r="AM18" s="10">
        <v>1560</v>
      </c>
      <c r="AN18" s="10">
        <v>1560</v>
      </c>
      <c r="AO18" s="10">
        <v>1560</v>
      </c>
      <c r="AP18" s="10">
        <v>1560</v>
      </c>
      <c r="AQ18" s="10">
        <v>1560</v>
      </c>
      <c r="AR18" s="10">
        <v>1764</v>
      </c>
      <c r="AS18" s="10">
        <v>1764</v>
      </c>
      <c r="AT18" s="10">
        <v>1764</v>
      </c>
      <c r="AU18" s="10">
        <v>1764</v>
      </c>
      <c r="AV18" s="10">
        <v>1764</v>
      </c>
      <c r="AW18" s="10">
        <v>1764</v>
      </c>
      <c r="AX18" s="10">
        <v>3480</v>
      </c>
      <c r="AY18" s="10">
        <v>3480</v>
      </c>
      <c r="AZ18" s="10">
        <v>3480</v>
      </c>
      <c r="BA18" s="10">
        <v>3480</v>
      </c>
      <c r="BB18" s="10">
        <v>3480</v>
      </c>
      <c r="BC18" s="10">
        <v>3480</v>
      </c>
      <c r="BD18" s="10">
        <v>3480</v>
      </c>
      <c r="BE18" s="10">
        <v>3480</v>
      </c>
      <c r="BF18" s="10">
        <v>3480</v>
      </c>
      <c r="BG18" s="10">
        <v>3480</v>
      </c>
      <c r="BH18" s="10">
        <v>3480</v>
      </c>
      <c r="BI18" s="10">
        <v>3480</v>
      </c>
      <c r="BJ18" s="10">
        <v>2376</v>
      </c>
      <c r="BK18" s="10">
        <v>2376</v>
      </c>
      <c r="BL18" s="10">
        <v>2376</v>
      </c>
      <c r="BM18" s="10">
        <v>2376</v>
      </c>
      <c r="BN18" s="10">
        <v>2376</v>
      </c>
      <c r="BO18" s="10">
        <v>2376</v>
      </c>
      <c r="BP18" s="16">
        <v>2376</v>
      </c>
      <c r="BQ18" s="16">
        <v>2376</v>
      </c>
      <c r="BR18" s="16">
        <v>2376</v>
      </c>
      <c r="BS18" s="16">
        <v>2376</v>
      </c>
      <c r="BT18" s="16">
        <v>2376</v>
      </c>
      <c r="BU18" s="16">
        <v>2376</v>
      </c>
      <c r="BV18" s="16">
        <v>2376</v>
      </c>
      <c r="BW18" s="12">
        <v>2376</v>
      </c>
      <c r="BX18" s="12">
        <v>2376</v>
      </c>
      <c r="BY18" s="12">
        <v>2376</v>
      </c>
      <c r="BZ18" s="12">
        <v>2376</v>
      </c>
      <c r="CA18" s="12">
        <v>2376</v>
      </c>
      <c r="CB18" s="12">
        <v>2376</v>
      </c>
      <c r="CC18" s="12">
        <v>2376</v>
      </c>
      <c r="CD18" s="12">
        <v>2376</v>
      </c>
      <c r="CE18" s="12">
        <v>2376</v>
      </c>
      <c r="CF18" s="12">
        <v>2376</v>
      </c>
      <c r="CG18" s="12">
        <v>2376</v>
      </c>
    </row>
    <row r="19" spans="1:85" x14ac:dyDescent="0.3">
      <c r="A19" t="s">
        <v>46</v>
      </c>
      <c r="B19" s="2">
        <v>5424</v>
      </c>
      <c r="C19" s="2">
        <v>5424</v>
      </c>
      <c r="D19" s="2">
        <v>5424</v>
      </c>
      <c r="E19" s="2">
        <v>5424</v>
      </c>
      <c r="F19" s="2">
        <v>5424</v>
      </c>
      <c r="G19" s="2">
        <v>5424</v>
      </c>
      <c r="H19" s="2">
        <v>5424</v>
      </c>
      <c r="I19" s="2">
        <v>5424</v>
      </c>
      <c r="J19" s="2">
        <v>5424</v>
      </c>
      <c r="K19" s="2">
        <v>5424</v>
      </c>
      <c r="L19" s="2">
        <v>5424</v>
      </c>
      <c r="M19" s="2">
        <v>5424</v>
      </c>
      <c r="N19">
        <v>5556</v>
      </c>
      <c r="O19">
        <v>5556</v>
      </c>
      <c r="P19">
        <v>5556</v>
      </c>
      <c r="Q19">
        <v>5556</v>
      </c>
      <c r="R19">
        <v>5556</v>
      </c>
      <c r="S19">
        <v>5556</v>
      </c>
      <c r="T19">
        <v>5556</v>
      </c>
      <c r="U19">
        <v>5556</v>
      </c>
      <c r="V19">
        <v>5556</v>
      </c>
      <c r="W19">
        <v>5556</v>
      </c>
      <c r="X19">
        <v>5556</v>
      </c>
      <c r="Y19">
        <v>5556</v>
      </c>
      <c r="Z19">
        <v>5556</v>
      </c>
      <c r="AA19">
        <v>5556</v>
      </c>
      <c r="AB19">
        <v>5556</v>
      </c>
      <c r="AC19">
        <v>6120</v>
      </c>
      <c r="AD19">
        <v>6120</v>
      </c>
      <c r="AE19">
        <v>6120</v>
      </c>
      <c r="AF19">
        <v>6120</v>
      </c>
      <c r="AG19">
        <v>6120</v>
      </c>
      <c r="AH19">
        <v>6120</v>
      </c>
      <c r="AI19">
        <v>6120</v>
      </c>
      <c r="AJ19">
        <v>6120</v>
      </c>
      <c r="AK19">
        <v>6120</v>
      </c>
      <c r="AL19" s="10">
        <v>6120</v>
      </c>
      <c r="AM19" s="10">
        <v>6120</v>
      </c>
      <c r="AN19" s="10">
        <v>6120</v>
      </c>
      <c r="AO19" s="10">
        <v>6120</v>
      </c>
      <c r="AP19" s="10">
        <v>6120</v>
      </c>
      <c r="AQ19" s="10">
        <v>6120</v>
      </c>
      <c r="AR19" s="10">
        <v>6336</v>
      </c>
      <c r="AS19" s="10">
        <v>6336</v>
      </c>
      <c r="AT19" s="10">
        <v>6336</v>
      </c>
      <c r="AU19" s="10">
        <v>6336</v>
      </c>
      <c r="AV19" s="10">
        <v>6336</v>
      </c>
      <c r="AW19" s="10">
        <v>6336</v>
      </c>
      <c r="AX19" s="10">
        <v>9168</v>
      </c>
      <c r="AY19" s="10">
        <v>9168</v>
      </c>
      <c r="AZ19" s="10">
        <v>9168</v>
      </c>
      <c r="BA19" s="10">
        <v>9168</v>
      </c>
      <c r="BB19" s="10">
        <v>9168</v>
      </c>
      <c r="BC19" s="10">
        <v>9168</v>
      </c>
      <c r="BD19" s="10">
        <v>9168</v>
      </c>
      <c r="BE19" s="10">
        <v>9168</v>
      </c>
      <c r="BF19" s="10">
        <v>9168</v>
      </c>
      <c r="BG19" s="10">
        <v>9168</v>
      </c>
      <c r="BH19" s="10">
        <v>9168</v>
      </c>
      <c r="BI19" s="10">
        <v>9168</v>
      </c>
      <c r="BJ19" s="10">
        <v>8004</v>
      </c>
      <c r="BK19" s="10">
        <v>8004</v>
      </c>
      <c r="BL19" s="10">
        <v>8004</v>
      </c>
      <c r="BM19" s="10">
        <v>8004</v>
      </c>
      <c r="BN19" s="10">
        <v>8004</v>
      </c>
      <c r="BO19" s="10">
        <v>8004</v>
      </c>
      <c r="BP19" s="16">
        <v>8004</v>
      </c>
      <c r="BQ19" s="16">
        <v>8004</v>
      </c>
      <c r="BR19" s="16">
        <v>8004</v>
      </c>
      <c r="BS19" s="16">
        <v>8004</v>
      </c>
      <c r="BT19" s="16">
        <v>8004</v>
      </c>
      <c r="BU19" s="16">
        <v>8004</v>
      </c>
      <c r="BV19" s="16">
        <v>8004</v>
      </c>
      <c r="BW19" s="12">
        <v>8004</v>
      </c>
      <c r="BX19" s="12">
        <v>8004</v>
      </c>
      <c r="BY19" s="12">
        <v>8004</v>
      </c>
      <c r="BZ19" s="12">
        <v>8004</v>
      </c>
      <c r="CA19" s="12">
        <v>8004</v>
      </c>
      <c r="CB19" s="12">
        <v>8004</v>
      </c>
      <c r="CC19" s="12">
        <v>8004</v>
      </c>
      <c r="CD19" s="12">
        <v>8004</v>
      </c>
      <c r="CE19" s="12">
        <v>8004</v>
      </c>
      <c r="CF19" s="12">
        <v>8004</v>
      </c>
      <c r="CG19" s="12">
        <v>8004</v>
      </c>
    </row>
    <row r="20" spans="1:85" x14ac:dyDescent="0.3">
      <c r="A20" t="s">
        <v>47</v>
      </c>
      <c r="B20" s="2">
        <v>8892</v>
      </c>
      <c r="C20" s="2">
        <v>8892</v>
      </c>
      <c r="D20" s="2">
        <v>8892</v>
      </c>
      <c r="E20" s="2">
        <v>8892</v>
      </c>
      <c r="F20" s="2">
        <v>8892</v>
      </c>
      <c r="G20" s="2">
        <v>8892</v>
      </c>
      <c r="H20" s="2">
        <v>8892</v>
      </c>
      <c r="I20" s="2">
        <v>8892</v>
      </c>
      <c r="J20" s="2">
        <v>8892</v>
      </c>
      <c r="K20" s="2">
        <v>8892</v>
      </c>
      <c r="L20" s="2">
        <v>8892</v>
      </c>
      <c r="M20" s="2">
        <v>8892</v>
      </c>
      <c r="N20">
        <v>9276</v>
      </c>
      <c r="O20">
        <v>9276</v>
      </c>
      <c r="P20">
        <v>9276</v>
      </c>
      <c r="Q20">
        <v>9276</v>
      </c>
      <c r="R20">
        <v>9276</v>
      </c>
      <c r="S20">
        <v>9276</v>
      </c>
      <c r="T20">
        <v>9276</v>
      </c>
      <c r="U20">
        <v>9276</v>
      </c>
      <c r="V20">
        <v>9276</v>
      </c>
      <c r="W20">
        <v>9276</v>
      </c>
      <c r="X20">
        <v>9276</v>
      </c>
      <c r="Y20">
        <v>9276</v>
      </c>
      <c r="Z20">
        <v>9276</v>
      </c>
      <c r="AA20">
        <v>9276</v>
      </c>
      <c r="AB20">
        <v>9276</v>
      </c>
      <c r="AC20">
        <v>11112</v>
      </c>
      <c r="AD20">
        <v>11112</v>
      </c>
      <c r="AE20">
        <v>11112</v>
      </c>
      <c r="AF20">
        <v>11112</v>
      </c>
      <c r="AG20">
        <v>11112</v>
      </c>
      <c r="AH20">
        <v>11112</v>
      </c>
      <c r="AI20">
        <v>11112</v>
      </c>
      <c r="AJ20">
        <v>11112</v>
      </c>
      <c r="AK20">
        <v>11112</v>
      </c>
      <c r="AL20" s="10">
        <v>11112</v>
      </c>
      <c r="AM20" s="10">
        <v>11112</v>
      </c>
      <c r="AN20" s="10">
        <v>11112</v>
      </c>
      <c r="AO20" s="10">
        <v>11112</v>
      </c>
      <c r="AP20" s="10">
        <v>11112</v>
      </c>
      <c r="AQ20" s="10">
        <v>11112</v>
      </c>
      <c r="AR20" s="10">
        <v>12048</v>
      </c>
      <c r="AS20" s="10">
        <v>12048</v>
      </c>
      <c r="AT20" s="10">
        <v>12048</v>
      </c>
      <c r="AU20" s="10">
        <v>12048</v>
      </c>
      <c r="AV20" s="10">
        <v>12048</v>
      </c>
      <c r="AW20" s="10">
        <v>12048</v>
      </c>
      <c r="AX20" s="10">
        <v>14424</v>
      </c>
      <c r="AY20" s="10">
        <v>14424</v>
      </c>
      <c r="AZ20" s="10">
        <v>14424</v>
      </c>
      <c r="BA20" s="10">
        <v>14424</v>
      </c>
      <c r="BB20" s="10">
        <v>14424</v>
      </c>
      <c r="BC20" s="10">
        <v>14424</v>
      </c>
      <c r="BD20" s="10">
        <v>14424</v>
      </c>
      <c r="BE20" s="10">
        <v>14424</v>
      </c>
      <c r="BF20" s="10">
        <v>14424</v>
      </c>
      <c r="BG20" s="10">
        <v>14424</v>
      </c>
      <c r="BH20" s="10">
        <v>14424</v>
      </c>
      <c r="BI20" s="10">
        <v>14424</v>
      </c>
      <c r="BJ20" s="10">
        <v>15924</v>
      </c>
      <c r="BK20" s="10">
        <v>15924</v>
      </c>
      <c r="BL20" s="10">
        <v>15924</v>
      </c>
      <c r="BM20" s="10">
        <v>15924</v>
      </c>
      <c r="BN20" s="10">
        <v>15924</v>
      </c>
      <c r="BO20" s="10">
        <v>15924</v>
      </c>
      <c r="BP20" s="16">
        <v>15924</v>
      </c>
      <c r="BQ20" s="16">
        <v>15924</v>
      </c>
      <c r="BR20" s="16">
        <v>15924</v>
      </c>
      <c r="BS20" s="16">
        <v>15924</v>
      </c>
      <c r="BT20" s="16">
        <v>15924</v>
      </c>
      <c r="BU20" s="16">
        <v>15924</v>
      </c>
      <c r="BV20" s="16">
        <v>15924</v>
      </c>
      <c r="BW20" s="12">
        <v>15924</v>
      </c>
      <c r="BX20" s="12">
        <v>15924</v>
      </c>
      <c r="BY20" s="12">
        <v>15924</v>
      </c>
      <c r="BZ20" s="12">
        <v>15924</v>
      </c>
      <c r="CA20" s="12">
        <v>15924</v>
      </c>
      <c r="CB20" s="12">
        <v>15924</v>
      </c>
      <c r="CC20" s="12">
        <v>15924</v>
      </c>
      <c r="CD20" s="12">
        <v>15924</v>
      </c>
      <c r="CE20" s="12">
        <v>15924</v>
      </c>
      <c r="CF20" s="12">
        <v>15924</v>
      </c>
      <c r="CG20" s="12">
        <v>15924</v>
      </c>
    </row>
    <row r="21" spans="1:85" x14ac:dyDescent="0.3">
      <c r="A21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</row>
    <row r="22" spans="1:85" x14ac:dyDescent="0.3">
      <c r="A22" t="s">
        <v>69</v>
      </c>
      <c r="B22" s="2">
        <v>9048</v>
      </c>
      <c r="C22" s="2">
        <v>9048</v>
      </c>
      <c r="D22" s="2">
        <v>9048</v>
      </c>
      <c r="E22" s="2">
        <v>9048</v>
      </c>
      <c r="F22" s="2">
        <v>9048</v>
      </c>
      <c r="G22" s="2">
        <v>9048</v>
      </c>
      <c r="H22" s="2">
        <v>9048</v>
      </c>
      <c r="I22" s="2">
        <v>9048</v>
      </c>
      <c r="J22" s="2">
        <v>9048</v>
      </c>
      <c r="K22" s="2">
        <v>9048</v>
      </c>
      <c r="L22" s="2">
        <v>9048</v>
      </c>
      <c r="M22" s="2">
        <v>9048</v>
      </c>
      <c r="N22">
        <v>9432</v>
      </c>
      <c r="O22">
        <v>9432</v>
      </c>
      <c r="P22">
        <v>9432</v>
      </c>
      <c r="Q22">
        <v>9432</v>
      </c>
      <c r="R22">
        <v>9432</v>
      </c>
      <c r="S22">
        <v>9432</v>
      </c>
      <c r="T22">
        <v>9432</v>
      </c>
      <c r="U22">
        <v>9432</v>
      </c>
      <c r="V22">
        <v>9432</v>
      </c>
      <c r="W22">
        <v>9432</v>
      </c>
      <c r="X22">
        <v>9432</v>
      </c>
      <c r="Y22">
        <v>9432</v>
      </c>
      <c r="Z22">
        <v>9432</v>
      </c>
      <c r="AA22">
        <v>9432</v>
      </c>
      <c r="AB22">
        <v>9432</v>
      </c>
      <c r="AC22">
        <v>11676</v>
      </c>
      <c r="AD22">
        <v>11676</v>
      </c>
      <c r="AE22">
        <v>11676</v>
      </c>
      <c r="AF22">
        <v>11676</v>
      </c>
      <c r="AG22">
        <v>11676</v>
      </c>
      <c r="AH22">
        <v>11676</v>
      </c>
      <c r="AI22">
        <v>11676</v>
      </c>
      <c r="AJ22">
        <v>11676</v>
      </c>
      <c r="AK22">
        <v>11676</v>
      </c>
      <c r="AL22" s="10">
        <v>11676</v>
      </c>
      <c r="AM22" s="10">
        <v>11676</v>
      </c>
      <c r="AN22" s="10">
        <v>11676</v>
      </c>
      <c r="AO22" s="10">
        <v>11676</v>
      </c>
      <c r="AP22" s="10">
        <v>11676</v>
      </c>
      <c r="AQ22" s="10">
        <v>11676</v>
      </c>
      <c r="AR22" s="10">
        <v>12444</v>
      </c>
      <c r="AS22" s="10">
        <v>12444</v>
      </c>
      <c r="AT22" s="10">
        <v>12444</v>
      </c>
      <c r="AU22" s="10">
        <v>12444</v>
      </c>
      <c r="AV22" s="10">
        <v>12444</v>
      </c>
      <c r="AW22" s="10">
        <v>12444</v>
      </c>
      <c r="AX22" s="10">
        <v>14736</v>
      </c>
      <c r="AY22" s="10">
        <v>14736</v>
      </c>
      <c r="AZ22" s="10">
        <v>14736</v>
      </c>
      <c r="BA22" s="10">
        <v>14736</v>
      </c>
      <c r="BB22" s="10">
        <v>14736</v>
      </c>
      <c r="BC22" s="10">
        <v>14736</v>
      </c>
      <c r="BD22" s="10">
        <v>14736</v>
      </c>
      <c r="BE22" s="10">
        <v>14736</v>
      </c>
      <c r="BF22" s="10">
        <v>14736</v>
      </c>
      <c r="BG22" s="10">
        <v>14736</v>
      </c>
      <c r="BH22" s="10">
        <v>14736</v>
      </c>
      <c r="BI22" s="10">
        <v>14736</v>
      </c>
      <c r="BJ22" s="10">
        <v>16608</v>
      </c>
      <c r="BK22" s="10">
        <v>16608</v>
      </c>
      <c r="BL22" s="10">
        <v>16608</v>
      </c>
      <c r="BM22" s="10">
        <v>16608</v>
      </c>
      <c r="BN22" s="10">
        <v>16608</v>
      </c>
      <c r="BO22" s="10">
        <v>16608</v>
      </c>
      <c r="BP22" s="16">
        <v>16608</v>
      </c>
      <c r="BQ22" s="16">
        <v>16608</v>
      </c>
      <c r="BR22" s="16">
        <v>16608</v>
      </c>
      <c r="BS22" s="16">
        <v>16608</v>
      </c>
      <c r="BT22" s="16">
        <v>16608</v>
      </c>
      <c r="BU22" s="16">
        <v>16608</v>
      </c>
      <c r="BV22" s="16">
        <v>16608</v>
      </c>
      <c r="BW22" s="12">
        <v>16608</v>
      </c>
      <c r="BX22" s="12">
        <v>16608</v>
      </c>
      <c r="BY22" s="12">
        <v>16608</v>
      </c>
      <c r="BZ22" s="12">
        <v>16608</v>
      </c>
      <c r="CA22" s="12">
        <v>16608</v>
      </c>
      <c r="CB22" s="12">
        <v>16608</v>
      </c>
      <c r="CC22" s="12">
        <v>16608</v>
      </c>
      <c r="CD22" s="12">
        <v>16608</v>
      </c>
      <c r="CE22" s="12">
        <v>16608</v>
      </c>
      <c r="CF22" s="12">
        <v>16608</v>
      </c>
      <c r="CG22" s="12">
        <v>16608</v>
      </c>
    </row>
    <row r="23" spans="1:85" x14ac:dyDescent="0.3">
      <c r="A23" t="s">
        <v>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</row>
    <row r="24" spans="1:85" x14ac:dyDescent="0.3">
      <c r="A24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</row>
    <row r="25" spans="1:85" x14ac:dyDescent="0.3">
      <c r="A25" t="s">
        <v>48</v>
      </c>
      <c r="B25" s="2">
        <v>8064</v>
      </c>
      <c r="C25" s="2">
        <v>8064</v>
      </c>
      <c r="D25" s="2">
        <v>8064</v>
      </c>
      <c r="E25" s="2">
        <v>8064</v>
      </c>
      <c r="F25" s="2">
        <v>8064</v>
      </c>
      <c r="G25" s="2">
        <v>8064</v>
      </c>
      <c r="H25" s="2">
        <v>8064</v>
      </c>
      <c r="I25" s="2">
        <v>8064</v>
      </c>
      <c r="J25" s="2">
        <v>8064</v>
      </c>
      <c r="K25" s="2">
        <v>8064</v>
      </c>
      <c r="L25" s="2">
        <v>8064</v>
      </c>
      <c r="M25" s="2">
        <v>8064</v>
      </c>
      <c r="N25">
        <v>8448</v>
      </c>
      <c r="O25">
        <v>8448</v>
      </c>
      <c r="P25">
        <v>8448</v>
      </c>
      <c r="Q25">
        <v>8448</v>
      </c>
      <c r="R25">
        <v>8448</v>
      </c>
      <c r="S25">
        <v>8448</v>
      </c>
      <c r="T25">
        <v>8448</v>
      </c>
      <c r="U25">
        <v>8448</v>
      </c>
      <c r="V25">
        <v>8448</v>
      </c>
      <c r="W25">
        <v>8448</v>
      </c>
      <c r="X25">
        <v>8448</v>
      </c>
      <c r="Y25">
        <v>8448</v>
      </c>
      <c r="Z25">
        <v>8448</v>
      </c>
      <c r="AA25">
        <v>8448</v>
      </c>
      <c r="AB25">
        <v>8448</v>
      </c>
      <c r="AC25">
        <v>9708</v>
      </c>
      <c r="AD25">
        <v>9708</v>
      </c>
      <c r="AE25">
        <v>9708</v>
      </c>
      <c r="AF25">
        <v>9708</v>
      </c>
      <c r="AG25">
        <v>9708</v>
      </c>
      <c r="AH25">
        <v>9708</v>
      </c>
      <c r="AI25">
        <v>9708</v>
      </c>
      <c r="AJ25">
        <v>9708</v>
      </c>
      <c r="AK25">
        <v>9708</v>
      </c>
      <c r="AL25" s="2">
        <v>9708</v>
      </c>
      <c r="AM25" s="2">
        <v>9708</v>
      </c>
      <c r="AN25" s="2">
        <v>9708</v>
      </c>
      <c r="AO25" s="2">
        <v>9708</v>
      </c>
      <c r="AP25" s="2">
        <v>9708</v>
      </c>
      <c r="AQ25" s="2">
        <v>9708</v>
      </c>
      <c r="AR25" s="2">
        <v>9900</v>
      </c>
      <c r="AS25" s="2">
        <v>9900</v>
      </c>
      <c r="AT25" s="2">
        <v>9900</v>
      </c>
      <c r="AU25" s="2">
        <v>9900</v>
      </c>
      <c r="AV25" s="2">
        <v>9900</v>
      </c>
      <c r="AW25" s="2">
        <v>9900</v>
      </c>
      <c r="AX25" s="2">
        <v>11784</v>
      </c>
      <c r="AY25" s="2">
        <v>11784</v>
      </c>
      <c r="AZ25" s="2">
        <v>11784</v>
      </c>
      <c r="BA25" s="2">
        <v>11784</v>
      </c>
      <c r="BB25" s="2">
        <v>11784</v>
      </c>
      <c r="BC25" s="2">
        <v>11784</v>
      </c>
      <c r="BD25" s="2">
        <v>11784</v>
      </c>
      <c r="BE25" s="2">
        <v>11784</v>
      </c>
      <c r="BF25" s="2">
        <v>11784</v>
      </c>
      <c r="BG25" s="2">
        <v>11784</v>
      </c>
      <c r="BH25" s="2">
        <v>11784</v>
      </c>
      <c r="BI25" s="2">
        <v>11784</v>
      </c>
      <c r="BJ25" s="2">
        <v>13248</v>
      </c>
      <c r="BK25" s="2">
        <v>13248</v>
      </c>
      <c r="BL25" s="2">
        <v>13248</v>
      </c>
      <c r="BM25" s="2">
        <v>13248</v>
      </c>
      <c r="BN25" s="2">
        <v>13248</v>
      </c>
      <c r="BO25" s="2">
        <v>13248</v>
      </c>
      <c r="BP25" s="2">
        <v>13248</v>
      </c>
      <c r="BQ25" s="2">
        <v>13248</v>
      </c>
      <c r="BR25" s="2">
        <v>13248</v>
      </c>
      <c r="BS25" s="2">
        <v>13248</v>
      </c>
      <c r="BT25" s="2">
        <v>13248</v>
      </c>
      <c r="BU25" s="2">
        <v>13248</v>
      </c>
      <c r="BV25" s="2">
        <v>13248</v>
      </c>
      <c r="BW25" s="14">
        <v>13248</v>
      </c>
      <c r="BX25" s="14">
        <v>13248</v>
      </c>
      <c r="BY25" s="14">
        <v>13248</v>
      </c>
      <c r="BZ25" s="14">
        <v>13248</v>
      </c>
      <c r="CA25" s="14">
        <v>13248</v>
      </c>
      <c r="CB25" s="14">
        <v>13248</v>
      </c>
      <c r="CC25" s="14">
        <v>13248</v>
      </c>
      <c r="CD25" s="14">
        <v>13248</v>
      </c>
      <c r="CE25" s="14">
        <v>13248</v>
      </c>
      <c r="CF25" s="14">
        <v>13248</v>
      </c>
      <c r="CG25" s="14">
        <v>13248</v>
      </c>
    </row>
    <row r="26" spans="1:85" x14ac:dyDescent="0.3">
      <c r="A26" t="s">
        <v>49</v>
      </c>
      <c r="B26">
        <v>0.11</v>
      </c>
      <c r="C26">
        <v>0.11</v>
      </c>
      <c r="D26">
        <v>0.11</v>
      </c>
      <c r="E26">
        <v>0.11</v>
      </c>
      <c r="F26">
        <v>0.11</v>
      </c>
      <c r="G26">
        <v>0.11</v>
      </c>
      <c r="H26">
        <v>0.11</v>
      </c>
      <c r="I26">
        <v>0.11</v>
      </c>
      <c r="J26">
        <v>0.11</v>
      </c>
      <c r="K26">
        <v>0.11</v>
      </c>
      <c r="L26">
        <v>0.11</v>
      </c>
      <c r="M26">
        <v>0.11</v>
      </c>
      <c r="N26">
        <v>0.1</v>
      </c>
      <c r="O26">
        <v>0.1</v>
      </c>
      <c r="P26">
        <v>0.1</v>
      </c>
      <c r="Q26">
        <v>0.1</v>
      </c>
      <c r="R26">
        <v>0.1</v>
      </c>
      <c r="S26">
        <v>0.1</v>
      </c>
      <c r="T26">
        <v>0.1</v>
      </c>
      <c r="U26">
        <v>0.1</v>
      </c>
      <c r="V26">
        <v>0.1</v>
      </c>
      <c r="W26">
        <v>0.1</v>
      </c>
      <c r="X26">
        <v>0.1</v>
      </c>
      <c r="Y26">
        <v>0.1</v>
      </c>
      <c r="Z26">
        <v>0.1</v>
      </c>
      <c r="AA26">
        <v>0.1</v>
      </c>
      <c r="AB26">
        <v>0.1</v>
      </c>
      <c r="AC26">
        <v>0.21</v>
      </c>
      <c r="AD26">
        <v>0.21</v>
      </c>
      <c r="AE26">
        <v>0.21</v>
      </c>
      <c r="AF26">
        <v>0.21</v>
      </c>
      <c r="AG26">
        <v>0.21</v>
      </c>
      <c r="AH26">
        <v>0.21</v>
      </c>
      <c r="AI26">
        <v>0.21</v>
      </c>
      <c r="AJ26">
        <v>0.21</v>
      </c>
      <c r="AK26">
        <v>0.21</v>
      </c>
      <c r="AL26">
        <v>0.21</v>
      </c>
      <c r="AM26">
        <v>0.21</v>
      </c>
      <c r="AN26">
        <v>0.21</v>
      </c>
      <c r="AO26">
        <v>0.21</v>
      </c>
      <c r="AP26">
        <v>0.21</v>
      </c>
      <c r="AQ26">
        <v>0.21</v>
      </c>
      <c r="AR26">
        <v>0.56000000000000005</v>
      </c>
      <c r="AS26">
        <v>0.56000000000000005</v>
      </c>
      <c r="AT26">
        <v>0.56000000000000005</v>
      </c>
      <c r="AU26">
        <v>0.56000000000000005</v>
      </c>
      <c r="AV26">
        <v>0.56000000000000005</v>
      </c>
      <c r="AW26">
        <v>0.56000000000000005</v>
      </c>
      <c r="AX26">
        <v>4.8499999999999996</v>
      </c>
      <c r="AY26">
        <v>4.8499999999999996</v>
      </c>
      <c r="AZ26">
        <v>4.8499999999999996</v>
      </c>
      <c r="BA26">
        <v>4.8499999999999996</v>
      </c>
      <c r="BB26">
        <v>4.8499999999999996</v>
      </c>
      <c r="BC26">
        <v>4.8499999999999996</v>
      </c>
      <c r="BD26">
        <v>4.8499999999999996</v>
      </c>
      <c r="BE26">
        <v>4.8499999999999996</v>
      </c>
      <c r="BF26">
        <v>4.8499999999999996</v>
      </c>
      <c r="BG26">
        <v>4.8499999999999996</v>
      </c>
      <c r="BH26">
        <v>4.8499999999999996</v>
      </c>
      <c r="BI26">
        <v>4.8499999999999996</v>
      </c>
      <c r="BJ26">
        <v>1.1200000000000001</v>
      </c>
      <c r="BK26">
        <v>1.1200000000000001</v>
      </c>
      <c r="BL26">
        <v>1.1200000000000001</v>
      </c>
      <c r="BM26">
        <v>1.1200000000000001</v>
      </c>
      <c r="BN26">
        <v>1.1200000000000001</v>
      </c>
      <c r="BO26">
        <v>1.1200000000000001</v>
      </c>
      <c r="BP26">
        <v>1.1200000000000001</v>
      </c>
      <c r="BQ26">
        <v>1.1200000000000001</v>
      </c>
      <c r="BR26">
        <v>1.1200000000000001</v>
      </c>
      <c r="BS26">
        <v>1.1200000000000001</v>
      </c>
      <c r="BT26">
        <v>1.1200000000000001</v>
      </c>
      <c r="BU26">
        <v>1.1200000000000001</v>
      </c>
      <c r="BV26">
        <v>2.87</v>
      </c>
      <c r="BW26" s="13">
        <v>2.87</v>
      </c>
      <c r="BX26" s="13">
        <v>2.87</v>
      </c>
      <c r="BY26" s="13">
        <v>2.87</v>
      </c>
      <c r="BZ26" s="13">
        <v>2.87</v>
      </c>
      <c r="CA26" s="13">
        <v>2.87</v>
      </c>
      <c r="CB26" s="13">
        <v>2.87</v>
      </c>
      <c r="CC26" s="13">
        <v>2.87</v>
      </c>
      <c r="CD26" s="13">
        <v>2.87</v>
      </c>
      <c r="CE26" s="13">
        <v>2.87</v>
      </c>
      <c r="CF26" s="13">
        <v>2.87</v>
      </c>
      <c r="CG26" s="13">
        <v>2.87</v>
      </c>
    </row>
    <row r="27" spans="1:85" x14ac:dyDescent="0.3">
      <c r="A27" t="s">
        <v>50</v>
      </c>
      <c r="B27">
        <v>0.48</v>
      </c>
      <c r="C27">
        <v>0.48</v>
      </c>
      <c r="D27">
        <v>0.48</v>
      </c>
      <c r="E27">
        <v>0.48</v>
      </c>
      <c r="F27">
        <v>0.48</v>
      </c>
      <c r="G27">
        <v>0.48</v>
      </c>
      <c r="H27">
        <v>0.48</v>
      </c>
      <c r="I27">
        <v>0.48</v>
      </c>
      <c r="J27">
        <v>0.48</v>
      </c>
      <c r="K27">
        <v>0.48</v>
      </c>
      <c r="L27">
        <v>0.48</v>
      </c>
      <c r="M27">
        <v>0.48</v>
      </c>
      <c r="N27">
        <v>0.45</v>
      </c>
      <c r="O27">
        <v>0.45</v>
      </c>
      <c r="P27">
        <v>0.45</v>
      </c>
      <c r="Q27">
        <v>0.45</v>
      </c>
      <c r="R27">
        <v>0.45</v>
      </c>
      <c r="S27">
        <v>0.45</v>
      </c>
      <c r="T27">
        <v>0.45</v>
      </c>
      <c r="U27">
        <v>0.45</v>
      </c>
      <c r="V27">
        <v>0.45</v>
      </c>
      <c r="W27">
        <v>0.45</v>
      </c>
      <c r="X27">
        <v>0.45</v>
      </c>
      <c r="Y27">
        <v>0.45</v>
      </c>
      <c r="Z27">
        <v>0.45</v>
      </c>
      <c r="AA27">
        <v>0.45</v>
      </c>
      <c r="AB27">
        <v>0.45</v>
      </c>
      <c r="AC27">
        <v>0.53</v>
      </c>
      <c r="AD27">
        <v>0.53</v>
      </c>
      <c r="AE27">
        <v>0.53</v>
      </c>
      <c r="AF27">
        <v>0.53</v>
      </c>
      <c r="AG27">
        <v>0.53</v>
      </c>
      <c r="AH27">
        <v>0.53</v>
      </c>
      <c r="AI27">
        <v>0.53</v>
      </c>
      <c r="AJ27">
        <v>0.53</v>
      </c>
      <c r="AK27">
        <v>0.53</v>
      </c>
      <c r="AL27">
        <v>0.53</v>
      </c>
      <c r="AM27">
        <v>0.53</v>
      </c>
      <c r="AN27">
        <v>0.53</v>
      </c>
      <c r="AO27">
        <v>0.53</v>
      </c>
      <c r="AP27">
        <v>0.53</v>
      </c>
      <c r="AQ27">
        <v>0.53</v>
      </c>
      <c r="AR27">
        <v>1.17</v>
      </c>
      <c r="AS27">
        <v>1.17</v>
      </c>
      <c r="AT27">
        <v>1.17</v>
      </c>
      <c r="AU27">
        <v>1.17</v>
      </c>
      <c r="AV27">
        <v>1.17</v>
      </c>
      <c r="AW27">
        <v>1.17</v>
      </c>
      <c r="AX27">
        <v>8.8800000000000008</v>
      </c>
      <c r="AY27">
        <v>8.8800000000000008</v>
      </c>
      <c r="AZ27">
        <v>8.8800000000000008</v>
      </c>
      <c r="BA27">
        <v>8.8800000000000008</v>
      </c>
      <c r="BB27">
        <v>8.8800000000000008</v>
      </c>
      <c r="BC27">
        <v>8.8800000000000008</v>
      </c>
      <c r="BD27">
        <v>8.8800000000000008</v>
      </c>
      <c r="BE27">
        <v>8.8800000000000008</v>
      </c>
      <c r="BF27">
        <v>8.8800000000000008</v>
      </c>
      <c r="BG27">
        <v>8.8800000000000008</v>
      </c>
      <c r="BH27">
        <v>8.8800000000000008</v>
      </c>
      <c r="BI27">
        <v>8.8800000000000008</v>
      </c>
      <c r="BJ27">
        <v>2.5499999999999998</v>
      </c>
      <c r="BK27">
        <v>2.5499999999999998</v>
      </c>
      <c r="BL27">
        <v>2.5499999999999998</v>
      </c>
      <c r="BM27">
        <v>2.5499999999999998</v>
      </c>
      <c r="BN27">
        <v>2.5499999999999998</v>
      </c>
      <c r="BO27">
        <v>2.5499999999999998</v>
      </c>
      <c r="BP27">
        <v>2.5499999999999998</v>
      </c>
      <c r="BQ27">
        <v>2.5499999999999998</v>
      </c>
      <c r="BR27">
        <v>2.5499999999999998</v>
      </c>
      <c r="BS27">
        <v>2.5499999999999998</v>
      </c>
      <c r="BT27">
        <v>2.5499999999999998</v>
      </c>
      <c r="BU27">
        <v>2.5499999999999998</v>
      </c>
      <c r="BV27">
        <v>4.3</v>
      </c>
      <c r="BW27" s="13">
        <v>4.3</v>
      </c>
      <c r="BX27" s="13">
        <v>4.3</v>
      </c>
      <c r="BY27" s="13">
        <v>4.3</v>
      </c>
      <c r="BZ27" s="13">
        <v>4.3</v>
      </c>
      <c r="CA27" s="13">
        <v>4.3</v>
      </c>
      <c r="CB27" s="13">
        <v>4.3</v>
      </c>
      <c r="CC27" s="13">
        <v>4.3</v>
      </c>
      <c r="CD27" s="13">
        <v>4.3</v>
      </c>
      <c r="CE27" s="13">
        <v>4.3</v>
      </c>
      <c r="CF27" s="13">
        <v>4.3</v>
      </c>
      <c r="CG27" s="13">
        <v>4.3</v>
      </c>
    </row>
    <row r="28" spans="1:85" x14ac:dyDescent="0.3">
      <c r="A28" t="s">
        <v>51</v>
      </c>
      <c r="B28">
        <v>1.1299999999999999</v>
      </c>
      <c r="C28">
        <v>1.1299999999999999</v>
      </c>
      <c r="D28">
        <v>1.1299999999999999</v>
      </c>
      <c r="E28">
        <v>1.1299999999999999</v>
      </c>
      <c r="F28">
        <v>1.1299999999999999</v>
      </c>
      <c r="G28">
        <v>1.1299999999999999</v>
      </c>
      <c r="H28">
        <v>1.1299999999999999</v>
      </c>
      <c r="I28">
        <v>1.1299999999999999</v>
      </c>
      <c r="J28">
        <v>1.1299999999999999</v>
      </c>
      <c r="K28">
        <v>1.1299999999999999</v>
      </c>
      <c r="L28">
        <v>1.1299999999999999</v>
      </c>
      <c r="M28">
        <v>1.1299999999999999</v>
      </c>
      <c r="N28">
        <v>1.04</v>
      </c>
      <c r="O28">
        <v>1.04</v>
      </c>
      <c r="P28">
        <v>1.04</v>
      </c>
      <c r="Q28">
        <v>1.04</v>
      </c>
      <c r="R28">
        <v>1.04</v>
      </c>
      <c r="S28">
        <v>1.04</v>
      </c>
      <c r="T28">
        <v>1.04</v>
      </c>
      <c r="U28">
        <v>1.04</v>
      </c>
      <c r="V28">
        <v>1.04</v>
      </c>
      <c r="W28">
        <v>1.04</v>
      </c>
      <c r="X28">
        <v>1.04</v>
      </c>
      <c r="Y28">
        <v>1.04</v>
      </c>
      <c r="Z28">
        <v>1.04</v>
      </c>
      <c r="AA28">
        <v>1.04</v>
      </c>
      <c r="AB28">
        <v>1.04</v>
      </c>
      <c r="AC28">
        <v>1.71</v>
      </c>
      <c r="AD28">
        <v>1.71</v>
      </c>
      <c r="AE28">
        <v>1.71</v>
      </c>
      <c r="AF28">
        <v>1.71</v>
      </c>
      <c r="AG28">
        <v>1.71</v>
      </c>
      <c r="AH28">
        <v>1.71</v>
      </c>
      <c r="AI28">
        <v>1.71</v>
      </c>
      <c r="AJ28">
        <v>1.71</v>
      </c>
      <c r="AK28">
        <v>1.71</v>
      </c>
      <c r="AL28">
        <v>1.71</v>
      </c>
      <c r="AM28">
        <v>1.71</v>
      </c>
      <c r="AN28">
        <v>1.71</v>
      </c>
      <c r="AO28">
        <v>1.71</v>
      </c>
      <c r="AP28">
        <v>1.71</v>
      </c>
      <c r="AQ28">
        <v>1.71</v>
      </c>
      <c r="AR28">
        <v>3.99</v>
      </c>
      <c r="AS28">
        <v>3.99</v>
      </c>
      <c r="AT28">
        <v>3.99</v>
      </c>
      <c r="AU28">
        <v>3.99</v>
      </c>
      <c r="AV28">
        <v>3.99</v>
      </c>
      <c r="AW28">
        <v>3.99</v>
      </c>
      <c r="AX28">
        <v>10.7</v>
      </c>
      <c r="AY28">
        <v>10.7</v>
      </c>
      <c r="AZ28">
        <v>10.7</v>
      </c>
      <c r="BA28">
        <v>10.7</v>
      </c>
      <c r="BB28">
        <v>10.7</v>
      </c>
      <c r="BC28">
        <v>10.7</v>
      </c>
      <c r="BD28">
        <v>10.7</v>
      </c>
      <c r="BE28">
        <v>10.7</v>
      </c>
      <c r="BF28">
        <v>10.7</v>
      </c>
      <c r="BG28">
        <v>10.7</v>
      </c>
      <c r="BH28">
        <v>10.7</v>
      </c>
      <c r="BI28">
        <v>10.7</v>
      </c>
      <c r="BJ28">
        <v>7.52</v>
      </c>
      <c r="BK28">
        <v>7.52</v>
      </c>
      <c r="BL28">
        <v>7.52</v>
      </c>
      <c r="BM28">
        <v>7.52</v>
      </c>
      <c r="BN28">
        <v>7.52</v>
      </c>
      <c r="BO28">
        <v>7.52</v>
      </c>
      <c r="BP28">
        <v>7.52</v>
      </c>
      <c r="BQ28">
        <v>7.52</v>
      </c>
      <c r="BR28">
        <v>7.52</v>
      </c>
      <c r="BS28">
        <v>7.52</v>
      </c>
      <c r="BT28">
        <v>7.52</v>
      </c>
      <c r="BU28">
        <v>7.52</v>
      </c>
      <c r="BV28">
        <v>9.27</v>
      </c>
      <c r="BW28" s="13">
        <v>9.27</v>
      </c>
      <c r="BX28" s="13">
        <v>9.27</v>
      </c>
      <c r="BY28" s="13">
        <v>9.27</v>
      </c>
      <c r="BZ28" s="13">
        <v>9.27</v>
      </c>
      <c r="CA28" s="13">
        <v>9.27</v>
      </c>
      <c r="CB28" s="13">
        <v>9.27</v>
      </c>
      <c r="CC28" s="13">
        <v>9.27</v>
      </c>
      <c r="CD28" s="13">
        <v>9.27</v>
      </c>
      <c r="CE28" s="13">
        <v>9.27</v>
      </c>
      <c r="CF28" s="13">
        <v>9.27</v>
      </c>
      <c r="CG28" s="13">
        <v>9.27</v>
      </c>
    </row>
    <row r="29" spans="1:85" x14ac:dyDescent="0.3">
      <c r="A29" t="s">
        <v>52</v>
      </c>
      <c r="B29">
        <v>6.04</v>
      </c>
      <c r="C29">
        <v>6.04</v>
      </c>
      <c r="D29">
        <v>6.04</v>
      </c>
      <c r="E29">
        <v>6.04</v>
      </c>
      <c r="F29">
        <v>6.04</v>
      </c>
      <c r="G29">
        <v>6.04</v>
      </c>
      <c r="H29">
        <v>6.04</v>
      </c>
      <c r="I29">
        <v>6.04</v>
      </c>
      <c r="J29">
        <v>6.04</v>
      </c>
      <c r="K29">
        <v>6.04</v>
      </c>
      <c r="L29">
        <v>6.04</v>
      </c>
      <c r="M29">
        <v>6.04</v>
      </c>
      <c r="N29">
        <v>6.04</v>
      </c>
      <c r="O29">
        <v>6.04</v>
      </c>
      <c r="P29">
        <v>6.04</v>
      </c>
      <c r="Q29">
        <v>6.04</v>
      </c>
      <c r="R29">
        <v>6.04</v>
      </c>
      <c r="S29">
        <v>6.04</v>
      </c>
      <c r="T29">
        <v>6.04</v>
      </c>
      <c r="U29">
        <v>6.04</v>
      </c>
      <c r="V29">
        <v>6.04</v>
      </c>
      <c r="W29">
        <v>6.04</v>
      </c>
      <c r="X29">
        <v>6.04</v>
      </c>
      <c r="Y29">
        <v>6.04</v>
      </c>
      <c r="Z29">
        <v>6.04</v>
      </c>
      <c r="AA29">
        <v>6.04</v>
      </c>
      <c r="AB29">
        <v>6.04</v>
      </c>
      <c r="AC29">
        <v>8.9700000000000006</v>
      </c>
      <c r="AD29">
        <v>8.9700000000000006</v>
      </c>
      <c r="AE29">
        <v>8.9700000000000006</v>
      </c>
      <c r="AF29">
        <v>8.9700000000000006</v>
      </c>
      <c r="AG29">
        <v>8.9700000000000006</v>
      </c>
      <c r="AH29">
        <v>8.9700000000000006</v>
      </c>
      <c r="AI29">
        <v>8.9700000000000006</v>
      </c>
      <c r="AJ29">
        <v>8.9700000000000006</v>
      </c>
      <c r="AK29">
        <v>8.9700000000000006</v>
      </c>
      <c r="AL29">
        <v>8.9700000000000006</v>
      </c>
      <c r="AM29">
        <v>8.9700000000000006</v>
      </c>
      <c r="AN29">
        <v>8.9700000000000006</v>
      </c>
      <c r="AO29">
        <v>8.9700000000000006</v>
      </c>
      <c r="AP29">
        <v>8.9700000000000006</v>
      </c>
      <c r="AQ29">
        <v>8.9700000000000006</v>
      </c>
      <c r="AR29">
        <v>19.18</v>
      </c>
      <c r="AS29">
        <v>19.18</v>
      </c>
      <c r="AT29">
        <v>19.18</v>
      </c>
      <c r="AU29">
        <v>19.18</v>
      </c>
      <c r="AV29">
        <v>19.18</v>
      </c>
      <c r="AW29">
        <v>19.18</v>
      </c>
      <c r="AX29">
        <v>28.09</v>
      </c>
      <c r="AY29">
        <v>28.09</v>
      </c>
      <c r="AZ29">
        <v>28.09</v>
      </c>
      <c r="BA29">
        <v>28.09</v>
      </c>
      <c r="BB29">
        <v>28.09</v>
      </c>
      <c r="BC29">
        <v>28.09</v>
      </c>
      <c r="BD29">
        <v>28.09</v>
      </c>
      <c r="BE29">
        <v>28.09</v>
      </c>
      <c r="BF29">
        <v>28.09</v>
      </c>
      <c r="BG29">
        <v>28.09</v>
      </c>
      <c r="BH29">
        <v>28.09</v>
      </c>
      <c r="BI29">
        <v>28.09</v>
      </c>
      <c r="BJ29">
        <v>22.74</v>
      </c>
      <c r="BK29">
        <v>22.74</v>
      </c>
      <c r="BL29">
        <v>22.74</v>
      </c>
      <c r="BM29">
        <v>22.74</v>
      </c>
      <c r="BN29">
        <v>22.74</v>
      </c>
      <c r="BO29">
        <v>22.74</v>
      </c>
      <c r="BP29">
        <v>22.74</v>
      </c>
      <c r="BQ29">
        <v>22.74</v>
      </c>
      <c r="BR29">
        <v>22.74</v>
      </c>
      <c r="BS29">
        <v>22.74</v>
      </c>
      <c r="BT29">
        <v>22.74</v>
      </c>
      <c r="BU29">
        <v>22.74</v>
      </c>
      <c r="BV29">
        <v>24.49</v>
      </c>
      <c r="BW29" s="13">
        <v>24.49</v>
      </c>
      <c r="BX29" s="13">
        <v>24.49</v>
      </c>
      <c r="BY29" s="13">
        <v>24.49</v>
      </c>
      <c r="BZ29" s="13">
        <v>24.49</v>
      </c>
      <c r="CA29" s="13">
        <v>24.49</v>
      </c>
      <c r="CB29" s="13">
        <v>24.49</v>
      </c>
      <c r="CC29" s="13">
        <v>24.49</v>
      </c>
      <c r="CD29" s="13">
        <v>24.49</v>
      </c>
      <c r="CE29" s="13">
        <v>24.49</v>
      </c>
      <c r="CF29" s="13">
        <v>24.49</v>
      </c>
      <c r="CG29" s="13">
        <v>24.49</v>
      </c>
    </row>
    <row r="30" spans="1:85" x14ac:dyDescent="0.3">
      <c r="A30" t="s">
        <v>53</v>
      </c>
      <c r="B30">
        <v>2.0099999999999998</v>
      </c>
      <c r="C30">
        <v>2.0099999999999998</v>
      </c>
      <c r="D30">
        <v>2.0099999999999998</v>
      </c>
      <c r="E30">
        <v>2.0099999999999998</v>
      </c>
      <c r="F30">
        <v>2.0099999999999998</v>
      </c>
      <c r="G30">
        <v>2.0099999999999998</v>
      </c>
      <c r="H30">
        <v>2.0099999999999998</v>
      </c>
      <c r="I30">
        <v>2.0099999999999998</v>
      </c>
      <c r="J30">
        <v>2.0099999999999998</v>
      </c>
      <c r="K30">
        <v>2.0099999999999998</v>
      </c>
      <c r="L30">
        <v>2.0099999999999998</v>
      </c>
      <c r="M30">
        <v>2.0099999999999998</v>
      </c>
      <c r="N30">
        <v>1.87</v>
      </c>
      <c r="O30">
        <v>1.87</v>
      </c>
      <c r="P30">
        <v>1.87</v>
      </c>
      <c r="Q30">
        <v>1.87</v>
      </c>
      <c r="R30">
        <v>1.87</v>
      </c>
      <c r="S30">
        <v>1.87</v>
      </c>
      <c r="T30">
        <v>1.87</v>
      </c>
      <c r="U30">
        <v>1.87</v>
      </c>
      <c r="V30">
        <v>1.87</v>
      </c>
      <c r="W30">
        <v>1.87</v>
      </c>
      <c r="X30">
        <v>1.87</v>
      </c>
      <c r="Y30">
        <v>1.87</v>
      </c>
      <c r="Z30">
        <v>1.87</v>
      </c>
      <c r="AA30">
        <v>1.87</v>
      </c>
      <c r="AB30">
        <v>1.87</v>
      </c>
      <c r="AC30">
        <v>3.34</v>
      </c>
      <c r="AD30">
        <v>3.34</v>
      </c>
      <c r="AE30">
        <v>3.34</v>
      </c>
      <c r="AF30">
        <v>3.34</v>
      </c>
      <c r="AG30">
        <v>3.34</v>
      </c>
      <c r="AH30">
        <v>3.34</v>
      </c>
      <c r="AI30">
        <v>3.34</v>
      </c>
      <c r="AJ30">
        <v>3.34</v>
      </c>
      <c r="AK30">
        <v>3.34</v>
      </c>
      <c r="AL30">
        <v>3.34</v>
      </c>
      <c r="AM30">
        <v>3.34</v>
      </c>
      <c r="AN30">
        <v>3.34</v>
      </c>
      <c r="AO30">
        <v>3.34</v>
      </c>
      <c r="AP30">
        <v>3.34</v>
      </c>
      <c r="AQ30">
        <v>3.34</v>
      </c>
      <c r="AR30">
        <v>7.92</v>
      </c>
      <c r="AS30">
        <v>7.92</v>
      </c>
      <c r="AT30">
        <v>7.92</v>
      </c>
      <c r="AU30">
        <v>7.92</v>
      </c>
      <c r="AV30">
        <v>7.92</v>
      </c>
      <c r="AW30">
        <v>7.92</v>
      </c>
      <c r="AX30">
        <v>16.829999999999998</v>
      </c>
      <c r="AY30">
        <v>16.829999999999998</v>
      </c>
      <c r="AZ30">
        <v>16.829999999999998</v>
      </c>
      <c r="BA30">
        <v>16.829999999999998</v>
      </c>
      <c r="BB30">
        <v>16.829999999999998</v>
      </c>
      <c r="BC30">
        <v>16.829999999999998</v>
      </c>
      <c r="BD30">
        <v>16.829999999999998</v>
      </c>
      <c r="BE30">
        <v>16.829999999999998</v>
      </c>
      <c r="BF30">
        <v>16.829999999999998</v>
      </c>
      <c r="BG30">
        <v>16.829999999999998</v>
      </c>
      <c r="BH30">
        <v>16.829999999999998</v>
      </c>
      <c r="BI30">
        <v>16.829999999999998</v>
      </c>
      <c r="BJ30">
        <v>14.05</v>
      </c>
      <c r="BK30">
        <v>14.05</v>
      </c>
      <c r="BL30">
        <v>14.05</v>
      </c>
      <c r="BM30">
        <v>14.05</v>
      </c>
      <c r="BN30">
        <v>14.05</v>
      </c>
      <c r="BO30">
        <v>14.05</v>
      </c>
      <c r="BP30">
        <v>14.05</v>
      </c>
      <c r="BQ30">
        <v>14.05</v>
      </c>
      <c r="BR30">
        <v>14.05</v>
      </c>
      <c r="BS30">
        <v>14.05</v>
      </c>
      <c r="BT30">
        <v>14.05</v>
      </c>
      <c r="BU30">
        <v>14.05</v>
      </c>
      <c r="BV30">
        <v>15.8</v>
      </c>
      <c r="BW30" s="13">
        <v>15.8</v>
      </c>
      <c r="BX30" s="13">
        <v>15.8</v>
      </c>
      <c r="BY30" s="13">
        <v>15.8</v>
      </c>
      <c r="BZ30" s="13">
        <v>15.8</v>
      </c>
      <c r="CA30" s="13">
        <v>15.8</v>
      </c>
      <c r="CB30" s="13">
        <v>15.8</v>
      </c>
      <c r="CC30" s="13">
        <v>15.8</v>
      </c>
      <c r="CD30" s="13">
        <v>15.8</v>
      </c>
      <c r="CE30" s="13">
        <v>15.8</v>
      </c>
      <c r="CF30" s="13">
        <v>15.8</v>
      </c>
      <c r="CG30" s="13">
        <v>15.8</v>
      </c>
    </row>
    <row r="31" spans="1:85" x14ac:dyDescent="0.3">
      <c r="A31" t="s">
        <v>54</v>
      </c>
      <c r="B31">
        <v>9.4499999999999993</v>
      </c>
      <c r="C31">
        <v>9.4499999999999993</v>
      </c>
      <c r="D31">
        <v>9.4499999999999993</v>
      </c>
      <c r="E31">
        <v>9.4499999999999993</v>
      </c>
      <c r="F31">
        <v>9.4499999999999993</v>
      </c>
      <c r="G31">
        <v>9.4499999999999993</v>
      </c>
      <c r="H31">
        <v>9.4499999999999993</v>
      </c>
      <c r="I31">
        <v>9.4499999999999993</v>
      </c>
      <c r="J31">
        <v>9.4499999999999993</v>
      </c>
      <c r="K31">
        <v>9.4499999999999993</v>
      </c>
      <c r="L31">
        <v>9.4499999999999993</v>
      </c>
      <c r="M31">
        <v>9.4499999999999993</v>
      </c>
      <c r="N31">
        <v>9.56</v>
      </c>
      <c r="O31">
        <v>9.56</v>
      </c>
      <c r="P31">
        <v>9.56</v>
      </c>
      <c r="Q31">
        <v>9.56</v>
      </c>
      <c r="R31">
        <v>9.56</v>
      </c>
      <c r="S31">
        <v>9.56</v>
      </c>
      <c r="T31">
        <v>9.56</v>
      </c>
      <c r="U31">
        <v>9.56</v>
      </c>
      <c r="V31">
        <v>9.56</v>
      </c>
      <c r="W31">
        <v>9.56</v>
      </c>
      <c r="X31">
        <v>9.56</v>
      </c>
      <c r="Y31">
        <v>9.56</v>
      </c>
      <c r="Z31">
        <v>9.56</v>
      </c>
      <c r="AA31">
        <v>9.56</v>
      </c>
      <c r="AB31">
        <v>9.56</v>
      </c>
      <c r="AC31">
        <v>13.6</v>
      </c>
      <c r="AD31">
        <v>13.6</v>
      </c>
      <c r="AE31">
        <v>13.6</v>
      </c>
      <c r="AF31">
        <v>13.6</v>
      </c>
      <c r="AG31">
        <v>13.6</v>
      </c>
      <c r="AH31">
        <v>13.6</v>
      </c>
      <c r="AI31">
        <v>13.6</v>
      </c>
      <c r="AJ31">
        <v>13.6</v>
      </c>
      <c r="AK31">
        <v>13.6</v>
      </c>
      <c r="AL31">
        <v>13.6</v>
      </c>
      <c r="AM31">
        <v>13.6</v>
      </c>
      <c r="AN31">
        <v>13.6</v>
      </c>
      <c r="AO31">
        <v>13.6</v>
      </c>
      <c r="AP31">
        <v>13.6</v>
      </c>
      <c r="AQ31">
        <v>13.6</v>
      </c>
      <c r="AR31">
        <v>13.6</v>
      </c>
      <c r="AS31">
        <v>13.6</v>
      </c>
      <c r="AT31">
        <v>13.6</v>
      </c>
      <c r="AU31">
        <v>13.6</v>
      </c>
      <c r="AV31">
        <v>13.6</v>
      </c>
      <c r="AW31">
        <v>13.6</v>
      </c>
      <c r="AX31">
        <v>13.6</v>
      </c>
      <c r="AY31">
        <v>13.6</v>
      </c>
      <c r="AZ31">
        <v>13.6</v>
      </c>
      <c r="BA31">
        <v>13.6</v>
      </c>
      <c r="BB31">
        <v>13.6</v>
      </c>
      <c r="BC31">
        <v>13.6</v>
      </c>
      <c r="BD31">
        <v>13.6</v>
      </c>
      <c r="BE31">
        <v>13.6</v>
      </c>
      <c r="BF31">
        <v>13.6</v>
      </c>
      <c r="BG31">
        <v>13.6</v>
      </c>
      <c r="BH31">
        <v>13.6</v>
      </c>
      <c r="BI31">
        <v>13.6</v>
      </c>
      <c r="BJ31">
        <v>16.600000000000001</v>
      </c>
      <c r="BK31">
        <v>16.600000000000001</v>
      </c>
      <c r="BL31">
        <v>16.600000000000001</v>
      </c>
      <c r="BM31">
        <v>16.600000000000001</v>
      </c>
      <c r="BN31">
        <v>16.600000000000001</v>
      </c>
      <c r="BO31">
        <v>16.600000000000001</v>
      </c>
      <c r="BP31">
        <v>16.600000000000001</v>
      </c>
      <c r="BQ31">
        <v>16.600000000000001</v>
      </c>
      <c r="BR31">
        <v>16.600000000000001</v>
      </c>
      <c r="BS31">
        <v>16.600000000000001</v>
      </c>
      <c r="BT31">
        <v>16.600000000000001</v>
      </c>
      <c r="BU31">
        <v>16.600000000000001</v>
      </c>
      <c r="BV31">
        <v>18.559999999999999</v>
      </c>
      <c r="BW31" s="13">
        <v>18.559999999999999</v>
      </c>
      <c r="BX31" s="13">
        <v>18.559999999999999</v>
      </c>
      <c r="BY31" s="13">
        <v>18.559999999999999</v>
      </c>
      <c r="BZ31" s="13">
        <v>18.559999999999999</v>
      </c>
      <c r="CA31" s="13">
        <v>18.559999999999999</v>
      </c>
      <c r="CB31" s="13">
        <v>18.559999999999999</v>
      </c>
      <c r="CC31" s="13">
        <v>18.559999999999999</v>
      </c>
      <c r="CD31" s="13">
        <v>18.559999999999999</v>
      </c>
      <c r="CE31" s="13">
        <v>18.559999999999999</v>
      </c>
      <c r="CF31" s="13">
        <v>18.559999999999999</v>
      </c>
      <c r="CG31" s="13">
        <v>18.559999999999999</v>
      </c>
    </row>
    <row r="32" spans="1:85" x14ac:dyDescent="0.3">
      <c r="A32" t="s">
        <v>55</v>
      </c>
      <c r="B32">
        <v>3.53</v>
      </c>
      <c r="C32">
        <v>3.53</v>
      </c>
      <c r="D32">
        <v>3.53</v>
      </c>
      <c r="E32">
        <v>3.53</v>
      </c>
      <c r="F32">
        <v>3.53</v>
      </c>
      <c r="G32">
        <v>3.53</v>
      </c>
      <c r="H32">
        <v>3.53</v>
      </c>
      <c r="I32">
        <v>3.53</v>
      </c>
      <c r="J32">
        <v>3.53</v>
      </c>
      <c r="K32">
        <v>3.53</v>
      </c>
      <c r="L32">
        <v>3.53</v>
      </c>
      <c r="M32">
        <v>3.53</v>
      </c>
      <c r="N32">
        <v>3.6</v>
      </c>
      <c r="O32">
        <v>3.6</v>
      </c>
      <c r="P32">
        <v>3.6</v>
      </c>
      <c r="Q32">
        <v>3.6</v>
      </c>
      <c r="R32">
        <v>3.6</v>
      </c>
      <c r="S32">
        <v>3.6</v>
      </c>
      <c r="T32">
        <v>3.6</v>
      </c>
      <c r="U32">
        <v>3.6</v>
      </c>
      <c r="V32">
        <v>3.6</v>
      </c>
      <c r="W32">
        <v>3.6</v>
      </c>
      <c r="X32">
        <v>3.6</v>
      </c>
      <c r="Y32">
        <v>3.6</v>
      </c>
      <c r="Z32">
        <v>3.6</v>
      </c>
      <c r="AA32">
        <v>3.6</v>
      </c>
      <c r="AB32">
        <v>3.6</v>
      </c>
      <c r="AC32">
        <v>6.38</v>
      </c>
      <c r="AD32">
        <v>6.38</v>
      </c>
      <c r="AE32">
        <v>6.38</v>
      </c>
      <c r="AF32">
        <v>6.38</v>
      </c>
      <c r="AG32">
        <v>6.38</v>
      </c>
      <c r="AH32">
        <v>6.38</v>
      </c>
      <c r="AI32">
        <v>6.38</v>
      </c>
      <c r="AJ32">
        <v>6.38</v>
      </c>
      <c r="AK32">
        <v>6.38</v>
      </c>
      <c r="AL32">
        <v>6.38</v>
      </c>
      <c r="AM32">
        <v>6.38</v>
      </c>
      <c r="AN32">
        <v>6.38</v>
      </c>
      <c r="AO32">
        <v>6.38</v>
      </c>
      <c r="AP32">
        <v>6.38</v>
      </c>
      <c r="AQ32">
        <v>6.38</v>
      </c>
      <c r="AR32">
        <v>6.38</v>
      </c>
      <c r="AS32">
        <v>6.38</v>
      </c>
      <c r="AT32">
        <v>6.38</v>
      </c>
      <c r="AU32">
        <v>6.38</v>
      </c>
      <c r="AV32">
        <v>6.38</v>
      </c>
      <c r="AW32">
        <v>6.38</v>
      </c>
      <c r="AX32">
        <v>6.38</v>
      </c>
      <c r="AY32">
        <v>6.38</v>
      </c>
      <c r="AZ32">
        <v>6.38</v>
      </c>
      <c r="BA32">
        <v>6.38</v>
      </c>
      <c r="BB32">
        <v>6.38</v>
      </c>
      <c r="BC32">
        <v>6.38</v>
      </c>
      <c r="BD32">
        <v>6.38</v>
      </c>
      <c r="BE32">
        <v>6.38</v>
      </c>
      <c r="BF32">
        <v>6.38</v>
      </c>
      <c r="BG32">
        <v>6.38</v>
      </c>
      <c r="BH32">
        <v>6.38</v>
      </c>
      <c r="BI32">
        <v>6.38</v>
      </c>
      <c r="BJ32">
        <v>9.3800000000000008</v>
      </c>
      <c r="BK32">
        <v>9.3800000000000008</v>
      </c>
      <c r="BL32">
        <v>9.3800000000000008</v>
      </c>
      <c r="BM32">
        <v>9.3800000000000008</v>
      </c>
      <c r="BN32">
        <v>9.3800000000000008</v>
      </c>
      <c r="BO32">
        <v>9.3800000000000008</v>
      </c>
      <c r="BP32">
        <v>9.3800000000000008</v>
      </c>
      <c r="BQ32">
        <v>9.3800000000000008</v>
      </c>
      <c r="BR32">
        <v>9.3800000000000008</v>
      </c>
      <c r="BS32">
        <v>9.3800000000000008</v>
      </c>
      <c r="BT32">
        <v>9.3800000000000008</v>
      </c>
      <c r="BU32">
        <v>9.3800000000000008</v>
      </c>
      <c r="BV32">
        <v>11.34</v>
      </c>
      <c r="BW32" s="13">
        <v>11.34</v>
      </c>
      <c r="BX32" s="13">
        <v>11.34</v>
      </c>
      <c r="BY32" s="13">
        <v>11.34</v>
      </c>
      <c r="BZ32" s="13">
        <v>11.34</v>
      </c>
      <c r="CA32" s="13">
        <v>11.34</v>
      </c>
      <c r="CB32" s="13">
        <v>11.34</v>
      </c>
      <c r="CC32" s="13">
        <v>11.34</v>
      </c>
      <c r="CD32" s="13">
        <v>11.34</v>
      </c>
      <c r="CE32" s="13">
        <v>11.34</v>
      </c>
      <c r="CF32" s="13">
        <v>11.34</v>
      </c>
      <c r="CG32" s="13">
        <v>11.34</v>
      </c>
    </row>
    <row r="33" spans="1:85" x14ac:dyDescent="0.3">
      <c r="A33" t="s">
        <v>56</v>
      </c>
      <c r="B33">
        <v>3.3</v>
      </c>
      <c r="C33">
        <v>3.3</v>
      </c>
      <c r="D33">
        <v>3.3</v>
      </c>
      <c r="E33">
        <v>3.3</v>
      </c>
      <c r="F33">
        <v>3.3</v>
      </c>
      <c r="G33">
        <v>3.3</v>
      </c>
      <c r="H33">
        <v>3.3</v>
      </c>
      <c r="I33">
        <v>3.3</v>
      </c>
      <c r="J33">
        <v>3.3</v>
      </c>
      <c r="K33">
        <v>3.3</v>
      </c>
      <c r="L33">
        <v>3.3</v>
      </c>
      <c r="M33">
        <v>3.3</v>
      </c>
      <c r="N33">
        <v>3.12</v>
      </c>
      <c r="O33">
        <v>3.12</v>
      </c>
      <c r="P33">
        <v>3.12</v>
      </c>
      <c r="Q33">
        <v>3.12</v>
      </c>
      <c r="R33">
        <v>3.12</v>
      </c>
      <c r="S33">
        <v>3.12</v>
      </c>
      <c r="T33">
        <v>3.12</v>
      </c>
      <c r="U33">
        <v>3.12</v>
      </c>
      <c r="V33">
        <v>3.12</v>
      </c>
      <c r="W33">
        <v>3.12</v>
      </c>
      <c r="X33">
        <v>3.12</v>
      </c>
      <c r="Y33">
        <v>3.12</v>
      </c>
      <c r="Z33">
        <v>3.12</v>
      </c>
      <c r="AA33">
        <v>3.12</v>
      </c>
      <c r="AB33">
        <v>3.12</v>
      </c>
      <c r="AC33">
        <v>5.23</v>
      </c>
      <c r="AD33">
        <v>5.23</v>
      </c>
      <c r="AE33">
        <v>5.23</v>
      </c>
      <c r="AF33">
        <v>5.23</v>
      </c>
      <c r="AG33">
        <v>5.23</v>
      </c>
      <c r="AH33">
        <v>5.23</v>
      </c>
      <c r="AI33">
        <v>5.23</v>
      </c>
      <c r="AJ33">
        <v>5.23</v>
      </c>
      <c r="AK33">
        <v>5.23</v>
      </c>
      <c r="AL33">
        <v>5.23</v>
      </c>
      <c r="AM33">
        <v>5.23</v>
      </c>
      <c r="AN33">
        <v>5.23</v>
      </c>
      <c r="AO33">
        <v>5.23</v>
      </c>
      <c r="AP33">
        <v>5.23</v>
      </c>
      <c r="AQ33">
        <v>5.23</v>
      </c>
      <c r="AR33">
        <v>12.31</v>
      </c>
      <c r="AS33">
        <v>12.31</v>
      </c>
      <c r="AT33">
        <v>12.31</v>
      </c>
      <c r="AU33">
        <v>12.31</v>
      </c>
      <c r="AV33">
        <v>12.31</v>
      </c>
      <c r="AW33">
        <v>12.31</v>
      </c>
      <c r="AX33">
        <v>24.01</v>
      </c>
      <c r="AY33">
        <v>24.01</v>
      </c>
      <c r="AZ33">
        <v>24.01</v>
      </c>
      <c r="BA33">
        <v>24.01</v>
      </c>
      <c r="BB33">
        <v>24.01</v>
      </c>
      <c r="BC33">
        <v>24.01</v>
      </c>
      <c r="BD33">
        <v>24.01</v>
      </c>
      <c r="BE33">
        <v>24.01</v>
      </c>
      <c r="BF33">
        <v>24.01</v>
      </c>
      <c r="BG33">
        <v>24.01</v>
      </c>
      <c r="BH33">
        <v>24.01</v>
      </c>
      <c r="BI33">
        <v>24.01</v>
      </c>
      <c r="BJ33">
        <v>21.33</v>
      </c>
      <c r="BK33">
        <v>21.33</v>
      </c>
      <c r="BL33">
        <v>21.33</v>
      </c>
      <c r="BM33">
        <v>21.33</v>
      </c>
      <c r="BN33">
        <v>21.33</v>
      </c>
      <c r="BO33">
        <v>21.33</v>
      </c>
      <c r="BP33">
        <v>21.33</v>
      </c>
      <c r="BQ33">
        <v>21.33</v>
      </c>
      <c r="BR33">
        <v>21.33</v>
      </c>
      <c r="BS33">
        <v>21.33</v>
      </c>
      <c r="BT33">
        <v>21.33</v>
      </c>
      <c r="BU33">
        <v>21.33</v>
      </c>
      <c r="BV33">
        <v>23.08</v>
      </c>
      <c r="BW33" s="13">
        <v>23.08</v>
      </c>
      <c r="BX33" s="13">
        <v>23.08</v>
      </c>
      <c r="BY33" s="13">
        <v>23.08</v>
      </c>
      <c r="BZ33" s="13">
        <v>23.08</v>
      </c>
      <c r="CA33" s="13">
        <v>23.08</v>
      </c>
      <c r="CB33" s="13">
        <v>23.08</v>
      </c>
      <c r="CC33" s="13">
        <v>23.08</v>
      </c>
      <c r="CD33" s="13">
        <v>23.08</v>
      </c>
      <c r="CE33" s="13">
        <v>23.08</v>
      </c>
      <c r="CF33" s="13">
        <v>23.08</v>
      </c>
      <c r="CG33" s="13">
        <v>23.08</v>
      </c>
    </row>
    <row r="34" spans="1:85" x14ac:dyDescent="0.3">
      <c r="A34" t="s">
        <v>72</v>
      </c>
      <c r="B34">
        <v>2.2599999999999998</v>
      </c>
      <c r="C34">
        <v>2.2599999999999998</v>
      </c>
      <c r="D34">
        <v>2.2599999999999998</v>
      </c>
      <c r="E34">
        <v>2.2599999999999998</v>
      </c>
      <c r="F34">
        <v>2.2599999999999998</v>
      </c>
      <c r="G34">
        <v>2.2599999999999998</v>
      </c>
      <c r="H34">
        <v>2.2599999999999998</v>
      </c>
      <c r="I34">
        <v>2.2599999999999998</v>
      </c>
      <c r="J34">
        <v>2.2599999999999998</v>
      </c>
      <c r="K34">
        <v>2.2599999999999998</v>
      </c>
      <c r="L34">
        <v>2.2599999999999998</v>
      </c>
      <c r="M34">
        <v>2.2599999999999998</v>
      </c>
      <c r="N34">
        <v>2.2799999999999998</v>
      </c>
      <c r="O34">
        <v>2.2799999999999998</v>
      </c>
      <c r="P34">
        <v>2.2799999999999998</v>
      </c>
      <c r="Q34">
        <v>2.2799999999999998</v>
      </c>
      <c r="R34">
        <v>2.2799999999999998</v>
      </c>
      <c r="S34">
        <v>2.2799999999999998</v>
      </c>
      <c r="T34">
        <v>2.2799999999999998</v>
      </c>
      <c r="U34">
        <v>2.2799999999999998</v>
      </c>
      <c r="V34">
        <v>2.2799999999999998</v>
      </c>
      <c r="W34">
        <v>2.2799999999999998</v>
      </c>
      <c r="X34">
        <v>2.2799999999999998</v>
      </c>
      <c r="Y34">
        <v>2.2799999999999998</v>
      </c>
      <c r="Z34">
        <v>2.2799999999999998</v>
      </c>
      <c r="AA34">
        <v>2.2799999999999998</v>
      </c>
      <c r="AB34">
        <v>2.2799999999999998</v>
      </c>
      <c r="AC34">
        <v>2.5099999999999998</v>
      </c>
      <c r="AD34">
        <v>2.5099999999999998</v>
      </c>
      <c r="AE34">
        <v>2.5099999999999998</v>
      </c>
      <c r="AF34">
        <v>2.5099999999999998</v>
      </c>
      <c r="AG34">
        <v>2.5099999999999998</v>
      </c>
      <c r="AH34">
        <v>2.5099999999999998</v>
      </c>
      <c r="AI34">
        <v>2.5099999999999998</v>
      </c>
      <c r="AJ34">
        <v>2.5099999999999998</v>
      </c>
      <c r="AK34">
        <v>2.5099999999999998</v>
      </c>
      <c r="AL34">
        <v>2.5099999999999998</v>
      </c>
      <c r="AM34">
        <v>2.5099999999999998</v>
      </c>
      <c r="AN34">
        <v>2.5099999999999998</v>
      </c>
      <c r="AO34">
        <v>2.5099999999999998</v>
      </c>
      <c r="AP34">
        <v>2.5099999999999998</v>
      </c>
      <c r="AQ34">
        <v>2.5099999999999998</v>
      </c>
      <c r="AR34">
        <v>3.05</v>
      </c>
      <c r="AS34">
        <v>3.05</v>
      </c>
      <c r="AT34">
        <v>3.05</v>
      </c>
      <c r="AU34">
        <v>3.05</v>
      </c>
      <c r="AV34">
        <v>3.05</v>
      </c>
      <c r="AW34">
        <v>3.05</v>
      </c>
      <c r="AX34">
        <v>3.05</v>
      </c>
      <c r="AY34">
        <v>3.05</v>
      </c>
      <c r="AZ34">
        <v>3.05</v>
      </c>
      <c r="BA34">
        <v>3.05</v>
      </c>
      <c r="BB34">
        <v>3.05</v>
      </c>
      <c r="BC34">
        <v>3.05</v>
      </c>
      <c r="BD34">
        <v>3.05</v>
      </c>
      <c r="BE34">
        <v>3.05</v>
      </c>
      <c r="BF34">
        <v>3.05</v>
      </c>
      <c r="BG34">
        <v>3.05</v>
      </c>
      <c r="BH34">
        <v>3.05</v>
      </c>
      <c r="BI34">
        <v>3.05</v>
      </c>
      <c r="BJ34">
        <v>2.89</v>
      </c>
      <c r="BK34">
        <v>2.89</v>
      </c>
      <c r="BL34">
        <v>2.89</v>
      </c>
      <c r="BM34">
        <v>2.89</v>
      </c>
      <c r="BN34">
        <v>2.89</v>
      </c>
      <c r="BO34">
        <v>2.89</v>
      </c>
      <c r="BP34">
        <v>2.89</v>
      </c>
      <c r="BQ34">
        <v>2.89</v>
      </c>
      <c r="BR34">
        <v>2.89</v>
      </c>
      <c r="BS34">
        <v>2.89</v>
      </c>
      <c r="BT34">
        <v>2.89</v>
      </c>
      <c r="BU34">
        <v>2.89</v>
      </c>
      <c r="BV34">
        <v>3.26</v>
      </c>
      <c r="BW34" s="13">
        <v>3.26</v>
      </c>
      <c r="BX34" s="13">
        <v>3.26</v>
      </c>
      <c r="BY34" s="13">
        <v>3.26</v>
      </c>
      <c r="BZ34" s="13">
        <v>3.26</v>
      </c>
      <c r="CA34" s="13">
        <v>3.26</v>
      </c>
      <c r="CB34" s="13">
        <v>3.26</v>
      </c>
      <c r="CC34" s="13">
        <v>3.26</v>
      </c>
      <c r="CD34" s="13">
        <v>3.26</v>
      </c>
      <c r="CE34" s="13">
        <v>3.26</v>
      </c>
      <c r="CF34" s="13">
        <v>3.26</v>
      </c>
      <c r="CG34" s="13">
        <v>3.26</v>
      </c>
    </row>
    <row r="35" spans="1:85" x14ac:dyDescent="0.3">
      <c r="A35" t="s">
        <v>73</v>
      </c>
      <c r="B35">
        <v>2.74</v>
      </c>
      <c r="C35">
        <v>2.74</v>
      </c>
      <c r="D35">
        <v>2.74</v>
      </c>
      <c r="E35">
        <v>2.74</v>
      </c>
      <c r="F35">
        <v>2.74</v>
      </c>
      <c r="G35">
        <v>2.74</v>
      </c>
      <c r="H35">
        <v>2.74</v>
      </c>
      <c r="I35">
        <v>2.74</v>
      </c>
      <c r="J35">
        <v>2.74</v>
      </c>
      <c r="K35">
        <v>2.74</v>
      </c>
      <c r="L35">
        <v>2.74</v>
      </c>
      <c r="M35">
        <v>2.74</v>
      </c>
      <c r="N35">
        <v>2.76</v>
      </c>
      <c r="O35">
        <v>2.76</v>
      </c>
      <c r="P35">
        <v>2.76</v>
      </c>
      <c r="Q35">
        <v>2.76</v>
      </c>
      <c r="R35">
        <v>2.76</v>
      </c>
      <c r="S35">
        <v>2.76</v>
      </c>
      <c r="T35">
        <v>2.76</v>
      </c>
      <c r="U35">
        <v>2.76</v>
      </c>
      <c r="V35">
        <v>2.76</v>
      </c>
      <c r="W35">
        <v>2.76</v>
      </c>
      <c r="X35">
        <v>2.76</v>
      </c>
      <c r="Y35">
        <v>2.76</v>
      </c>
      <c r="Z35">
        <v>2.76</v>
      </c>
      <c r="AA35">
        <v>2.76</v>
      </c>
      <c r="AB35">
        <v>2.76</v>
      </c>
      <c r="AC35">
        <v>3.04</v>
      </c>
      <c r="AD35">
        <v>3.04</v>
      </c>
      <c r="AE35">
        <v>3.04</v>
      </c>
      <c r="AF35">
        <v>3.04</v>
      </c>
      <c r="AG35">
        <v>3.04</v>
      </c>
      <c r="AH35">
        <v>3.04</v>
      </c>
      <c r="AI35">
        <v>3.04</v>
      </c>
      <c r="AJ35">
        <v>3.04</v>
      </c>
      <c r="AK35">
        <v>3.04</v>
      </c>
      <c r="AL35">
        <v>3.04</v>
      </c>
      <c r="AM35">
        <v>3.04</v>
      </c>
      <c r="AN35">
        <v>3.04</v>
      </c>
      <c r="AO35">
        <v>3.04</v>
      </c>
      <c r="AP35">
        <v>3.04</v>
      </c>
      <c r="AQ35">
        <v>3.04</v>
      </c>
      <c r="AR35">
        <v>3.7</v>
      </c>
      <c r="AS35">
        <v>3.7</v>
      </c>
      <c r="AT35">
        <v>3.7</v>
      </c>
      <c r="AU35">
        <v>3.7</v>
      </c>
      <c r="AV35">
        <v>3.7</v>
      </c>
      <c r="AW35">
        <v>3.7</v>
      </c>
      <c r="AX35">
        <v>3.7</v>
      </c>
      <c r="AY35">
        <v>3.7</v>
      </c>
      <c r="AZ35">
        <v>3.7</v>
      </c>
      <c r="BA35">
        <v>3.7</v>
      </c>
      <c r="BB35">
        <v>3.7</v>
      </c>
      <c r="BC35">
        <v>3.7</v>
      </c>
      <c r="BD35">
        <v>3.7</v>
      </c>
      <c r="BE35">
        <v>3.7</v>
      </c>
      <c r="BF35">
        <v>3.7</v>
      </c>
      <c r="BG35">
        <v>3.7</v>
      </c>
      <c r="BH35">
        <v>3.7</v>
      </c>
      <c r="BI35">
        <v>3.7</v>
      </c>
      <c r="BJ35">
        <v>3.5</v>
      </c>
      <c r="BK35">
        <v>3.5</v>
      </c>
      <c r="BL35">
        <v>3.5</v>
      </c>
      <c r="BM35">
        <v>3.5</v>
      </c>
      <c r="BN35">
        <v>3.5</v>
      </c>
      <c r="BO35">
        <v>3.5</v>
      </c>
      <c r="BP35">
        <v>3.5</v>
      </c>
      <c r="BQ35">
        <v>3.5</v>
      </c>
      <c r="BR35">
        <v>3.5</v>
      </c>
      <c r="BS35">
        <v>3.5</v>
      </c>
      <c r="BT35">
        <v>3.5</v>
      </c>
      <c r="BU35">
        <v>3.5</v>
      </c>
      <c r="BV35">
        <v>3.95</v>
      </c>
      <c r="BW35" s="13">
        <v>3.95</v>
      </c>
      <c r="BX35" s="13">
        <v>3.95</v>
      </c>
      <c r="BY35" s="13">
        <v>3.95</v>
      </c>
      <c r="BZ35" s="13">
        <v>3.95</v>
      </c>
      <c r="CA35" s="13">
        <v>3.95</v>
      </c>
      <c r="CB35" s="13">
        <v>3.95</v>
      </c>
      <c r="CC35" s="13">
        <v>3.95</v>
      </c>
      <c r="CD35" s="13">
        <v>3.95</v>
      </c>
      <c r="CE35" s="13">
        <v>3.95</v>
      </c>
      <c r="CF35" s="13">
        <v>3.95</v>
      </c>
      <c r="CG35" s="13">
        <v>3.95</v>
      </c>
    </row>
    <row r="36" spans="1:85" x14ac:dyDescent="0.3">
      <c r="A36" t="s">
        <v>74</v>
      </c>
      <c r="B36" s="3">
        <v>2.74</v>
      </c>
      <c r="C36" s="3">
        <v>2.74</v>
      </c>
      <c r="D36" s="3">
        <v>2.74</v>
      </c>
      <c r="E36" s="3">
        <v>2.74</v>
      </c>
      <c r="F36" s="3">
        <v>2.74</v>
      </c>
      <c r="G36" s="3">
        <v>2.74</v>
      </c>
      <c r="H36" s="3">
        <v>2.74</v>
      </c>
      <c r="I36" s="3">
        <v>2.74</v>
      </c>
      <c r="J36" s="3">
        <v>2.74</v>
      </c>
      <c r="K36" s="3">
        <v>2.74</v>
      </c>
      <c r="L36" s="3">
        <v>2.74</v>
      </c>
      <c r="M36" s="3">
        <v>2.74</v>
      </c>
      <c r="N36">
        <v>2.76</v>
      </c>
      <c r="O36">
        <v>2.76</v>
      </c>
      <c r="P36">
        <v>2.76</v>
      </c>
      <c r="Q36">
        <v>2.76</v>
      </c>
      <c r="R36">
        <v>2.76</v>
      </c>
      <c r="S36">
        <v>2.76</v>
      </c>
      <c r="T36">
        <v>2.76</v>
      </c>
      <c r="U36">
        <v>2.76</v>
      </c>
      <c r="V36">
        <v>2.76</v>
      </c>
      <c r="W36">
        <v>2.76</v>
      </c>
      <c r="X36">
        <v>2.76</v>
      </c>
      <c r="Y36">
        <v>2.76</v>
      </c>
      <c r="Z36">
        <v>2.76</v>
      </c>
      <c r="AA36">
        <v>2.76</v>
      </c>
      <c r="AB36">
        <v>2.76</v>
      </c>
      <c r="AC36">
        <v>3.04</v>
      </c>
      <c r="AD36">
        <v>3.04</v>
      </c>
      <c r="AE36">
        <v>3.04</v>
      </c>
      <c r="AF36">
        <v>3.04</v>
      </c>
      <c r="AG36">
        <v>3.04</v>
      </c>
      <c r="AH36">
        <v>3.04</v>
      </c>
      <c r="AI36">
        <v>3.04</v>
      </c>
      <c r="AJ36">
        <v>3.04</v>
      </c>
      <c r="AK36">
        <v>3.04</v>
      </c>
      <c r="AL36" s="3">
        <v>3.04</v>
      </c>
      <c r="AM36" s="3">
        <v>3.04</v>
      </c>
      <c r="AN36" s="3">
        <v>3.04</v>
      </c>
      <c r="AO36" s="3">
        <v>3.04</v>
      </c>
      <c r="AP36" s="3">
        <v>3.04</v>
      </c>
      <c r="AQ36" s="3">
        <v>3.04</v>
      </c>
      <c r="AR36">
        <v>3.7</v>
      </c>
      <c r="AS36">
        <v>3.7</v>
      </c>
      <c r="AT36">
        <v>3.7</v>
      </c>
      <c r="AU36">
        <v>3.7</v>
      </c>
      <c r="AV36">
        <v>3.7</v>
      </c>
      <c r="AW36">
        <v>3.7</v>
      </c>
      <c r="AX36">
        <v>3.7</v>
      </c>
      <c r="AY36">
        <v>3.7</v>
      </c>
      <c r="AZ36">
        <v>3.7</v>
      </c>
      <c r="BA36">
        <v>3.7</v>
      </c>
      <c r="BB36">
        <v>3.7</v>
      </c>
      <c r="BC36">
        <v>3.7</v>
      </c>
      <c r="BD36">
        <v>3.7</v>
      </c>
      <c r="BE36">
        <v>3.7</v>
      </c>
      <c r="BF36">
        <v>3.7</v>
      </c>
      <c r="BG36">
        <v>3.7</v>
      </c>
      <c r="BH36">
        <v>3.7</v>
      </c>
      <c r="BI36">
        <v>3.7</v>
      </c>
      <c r="BJ36">
        <v>3.5</v>
      </c>
      <c r="BK36">
        <v>3.5</v>
      </c>
      <c r="BL36">
        <v>3.5</v>
      </c>
      <c r="BM36">
        <v>3.5</v>
      </c>
      <c r="BN36">
        <v>3.5</v>
      </c>
      <c r="BO36">
        <v>3.5</v>
      </c>
      <c r="BP36">
        <v>3.5</v>
      </c>
      <c r="BQ36">
        <v>3.5</v>
      </c>
      <c r="BR36">
        <v>3.5</v>
      </c>
      <c r="BS36">
        <v>3.5</v>
      </c>
      <c r="BT36">
        <v>3.5</v>
      </c>
      <c r="BU36">
        <v>3.5</v>
      </c>
      <c r="BV36">
        <v>3.95</v>
      </c>
      <c r="BW36" s="13">
        <v>3.95</v>
      </c>
      <c r="BX36" s="13">
        <v>3.95</v>
      </c>
      <c r="BY36" s="13">
        <v>3.95</v>
      </c>
      <c r="BZ36" s="13">
        <v>3.95</v>
      </c>
      <c r="CA36" s="13">
        <v>3.95</v>
      </c>
      <c r="CB36" s="13">
        <v>3.95</v>
      </c>
      <c r="CC36" s="13">
        <v>3.95</v>
      </c>
      <c r="CD36" s="13">
        <v>3.95</v>
      </c>
      <c r="CE36" s="13">
        <v>3.95</v>
      </c>
      <c r="CF36" s="13">
        <v>3.95</v>
      </c>
      <c r="CG36" s="13">
        <v>3.95</v>
      </c>
    </row>
    <row r="37" spans="1:85" x14ac:dyDescent="0.3">
      <c r="A37" t="s">
        <v>75</v>
      </c>
      <c r="B37">
        <v>3.79</v>
      </c>
      <c r="C37">
        <v>3.79</v>
      </c>
      <c r="D37">
        <v>3.79</v>
      </c>
      <c r="E37">
        <v>3.79</v>
      </c>
      <c r="F37">
        <v>3.79</v>
      </c>
      <c r="G37">
        <v>3.79</v>
      </c>
      <c r="H37">
        <v>3.79</v>
      </c>
      <c r="I37">
        <v>3.79</v>
      </c>
      <c r="J37">
        <v>3.79</v>
      </c>
      <c r="K37">
        <v>3.79</v>
      </c>
      <c r="L37">
        <v>3.79</v>
      </c>
      <c r="M37">
        <v>3.79</v>
      </c>
      <c r="N37">
        <v>3.82</v>
      </c>
      <c r="O37">
        <v>3.82</v>
      </c>
      <c r="P37">
        <v>3.82</v>
      </c>
      <c r="Q37">
        <v>3.82</v>
      </c>
      <c r="R37">
        <v>3.82</v>
      </c>
      <c r="S37">
        <v>3.82</v>
      </c>
      <c r="T37">
        <v>3.82</v>
      </c>
      <c r="U37">
        <v>3.82</v>
      </c>
      <c r="V37">
        <v>3.82</v>
      </c>
      <c r="W37">
        <v>3.82</v>
      </c>
      <c r="X37">
        <v>3.82</v>
      </c>
      <c r="Y37">
        <v>3.82</v>
      </c>
      <c r="Z37">
        <v>3.82</v>
      </c>
      <c r="AA37">
        <v>3.82</v>
      </c>
      <c r="AB37">
        <v>3.82</v>
      </c>
      <c r="AC37">
        <v>4.21</v>
      </c>
      <c r="AD37">
        <v>4.21</v>
      </c>
      <c r="AE37">
        <v>4.21</v>
      </c>
      <c r="AF37">
        <v>4.21</v>
      </c>
      <c r="AG37">
        <v>4.21</v>
      </c>
      <c r="AH37">
        <v>4.21</v>
      </c>
      <c r="AI37">
        <v>4.21</v>
      </c>
      <c r="AJ37">
        <v>4.21</v>
      </c>
      <c r="AK37">
        <v>4.21</v>
      </c>
      <c r="AL37">
        <v>4.21</v>
      </c>
      <c r="AM37">
        <v>4.21</v>
      </c>
      <c r="AN37">
        <v>4.21</v>
      </c>
      <c r="AO37">
        <v>4.21</v>
      </c>
      <c r="AP37">
        <v>4.21</v>
      </c>
      <c r="AQ37">
        <v>4.21</v>
      </c>
      <c r="AR37">
        <v>5.12</v>
      </c>
      <c r="AS37">
        <v>5.12</v>
      </c>
      <c r="AT37">
        <v>5.12</v>
      </c>
      <c r="AU37">
        <v>5.12</v>
      </c>
      <c r="AV37">
        <v>5.12</v>
      </c>
      <c r="AW37">
        <v>5.12</v>
      </c>
      <c r="AX37">
        <v>5.12</v>
      </c>
      <c r="AY37">
        <v>5.12</v>
      </c>
      <c r="AZ37">
        <v>5.12</v>
      </c>
      <c r="BA37">
        <v>5.12</v>
      </c>
      <c r="BB37">
        <v>5.12</v>
      </c>
      <c r="BC37">
        <v>5.12</v>
      </c>
      <c r="BD37">
        <v>5.12</v>
      </c>
      <c r="BE37">
        <v>5.12</v>
      </c>
      <c r="BF37">
        <v>5.12</v>
      </c>
      <c r="BG37">
        <v>5.12</v>
      </c>
      <c r="BH37">
        <v>5.12</v>
      </c>
      <c r="BI37">
        <v>5.12</v>
      </c>
      <c r="BJ37">
        <v>4.8499999999999996</v>
      </c>
      <c r="BK37">
        <v>4.8499999999999996</v>
      </c>
      <c r="BL37">
        <v>4.8499999999999996</v>
      </c>
      <c r="BM37">
        <v>4.8499999999999996</v>
      </c>
      <c r="BN37">
        <v>4.8499999999999996</v>
      </c>
      <c r="BO37">
        <v>4.8499999999999996</v>
      </c>
      <c r="BP37">
        <v>4.8499999999999996</v>
      </c>
      <c r="BQ37">
        <v>4.8499999999999996</v>
      </c>
      <c r="BR37">
        <v>4.8499999999999996</v>
      </c>
      <c r="BS37">
        <v>4.8499999999999996</v>
      </c>
      <c r="BT37">
        <v>4.8499999999999996</v>
      </c>
      <c r="BU37">
        <v>4.8499999999999996</v>
      </c>
      <c r="BV37">
        <v>5.47</v>
      </c>
      <c r="BW37" s="13">
        <v>5.47</v>
      </c>
      <c r="BX37" s="13">
        <v>5.47</v>
      </c>
      <c r="BY37" s="13">
        <v>5.47</v>
      </c>
      <c r="BZ37" s="13">
        <v>5.47</v>
      </c>
      <c r="CA37" s="13">
        <v>5.47</v>
      </c>
      <c r="CB37" s="13">
        <v>5.47</v>
      </c>
      <c r="CC37" s="13">
        <v>5.47</v>
      </c>
      <c r="CD37" s="13">
        <v>5.47</v>
      </c>
      <c r="CE37" s="13">
        <v>5.47</v>
      </c>
      <c r="CF37" s="13">
        <v>5.47</v>
      </c>
      <c r="CG37" s="13">
        <v>5.47</v>
      </c>
    </row>
    <row r="38" spans="1:85" x14ac:dyDescent="0.3">
      <c r="A38" t="s">
        <v>76</v>
      </c>
      <c r="B38">
        <v>3.79</v>
      </c>
      <c r="C38">
        <v>3.79</v>
      </c>
      <c r="D38">
        <v>3.79</v>
      </c>
      <c r="E38">
        <v>3.79</v>
      </c>
      <c r="F38">
        <v>3.79</v>
      </c>
      <c r="G38">
        <v>3.79</v>
      </c>
      <c r="H38">
        <v>3.79</v>
      </c>
      <c r="I38">
        <v>3.79</v>
      </c>
      <c r="J38">
        <v>3.79</v>
      </c>
      <c r="K38">
        <v>3.79</v>
      </c>
      <c r="L38">
        <v>3.79</v>
      </c>
      <c r="M38">
        <v>3.79</v>
      </c>
      <c r="N38">
        <v>3.82</v>
      </c>
      <c r="O38">
        <v>3.82</v>
      </c>
      <c r="P38">
        <v>3.82</v>
      </c>
      <c r="Q38">
        <v>3.82</v>
      </c>
      <c r="R38">
        <v>3.82</v>
      </c>
      <c r="S38">
        <v>3.82</v>
      </c>
      <c r="T38">
        <v>3.82</v>
      </c>
      <c r="U38">
        <v>3.82</v>
      </c>
      <c r="V38">
        <v>3.82</v>
      </c>
      <c r="W38">
        <v>3.82</v>
      </c>
      <c r="X38">
        <v>3.82</v>
      </c>
      <c r="Y38">
        <v>3.82</v>
      </c>
      <c r="Z38">
        <v>3.82</v>
      </c>
      <c r="AA38">
        <v>3.82</v>
      </c>
      <c r="AB38">
        <v>3.82</v>
      </c>
      <c r="AC38">
        <v>4.21</v>
      </c>
      <c r="AD38">
        <v>4.21</v>
      </c>
      <c r="AE38">
        <v>4.21</v>
      </c>
      <c r="AF38">
        <v>4.21</v>
      </c>
      <c r="AG38">
        <v>4.21</v>
      </c>
      <c r="AH38">
        <v>4.21</v>
      </c>
      <c r="AI38">
        <v>4.21</v>
      </c>
      <c r="AJ38">
        <v>4.21</v>
      </c>
      <c r="AK38">
        <v>4.21</v>
      </c>
      <c r="AL38">
        <v>4.21</v>
      </c>
      <c r="AM38">
        <v>4.21</v>
      </c>
      <c r="AN38">
        <v>4.21</v>
      </c>
      <c r="AO38">
        <v>4.21</v>
      </c>
      <c r="AP38">
        <v>4.21</v>
      </c>
      <c r="AQ38">
        <v>4.21</v>
      </c>
      <c r="AR38">
        <v>5.12</v>
      </c>
      <c r="AS38">
        <v>5.12</v>
      </c>
      <c r="AT38">
        <v>5.12</v>
      </c>
      <c r="AU38">
        <v>5.12</v>
      </c>
      <c r="AV38">
        <v>5.12</v>
      </c>
      <c r="AW38">
        <v>5.12</v>
      </c>
      <c r="AX38">
        <v>5.12</v>
      </c>
      <c r="AY38">
        <v>5.12</v>
      </c>
      <c r="AZ38">
        <v>5.12</v>
      </c>
      <c r="BA38">
        <v>5.12</v>
      </c>
      <c r="BB38">
        <v>5.12</v>
      </c>
      <c r="BC38">
        <v>5.12</v>
      </c>
      <c r="BD38">
        <v>5.12</v>
      </c>
      <c r="BE38">
        <v>5.12</v>
      </c>
      <c r="BF38">
        <v>5.12</v>
      </c>
      <c r="BG38">
        <v>5.12</v>
      </c>
      <c r="BH38">
        <v>5.12</v>
      </c>
      <c r="BI38">
        <v>5.12</v>
      </c>
      <c r="BJ38">
        <v>4.8499999999999996</v>
      </c>
      <c r="BK38">
        <v>4.8499999999999996</v>
      </c>
      <c r="BL38">
        <v>4.8499999999999996</v>
      </c>
      <c r="BM38">
        <v>4.8499999999999996</v>
      </c>
      <c r="BN38">
        <v>4.8499999999999996</v>
      </c>
      <c r="BO38">
        <v>4.8499999999999996</v>
      </c>
      <c r="BP38">
        <v>4.8499999999999996</v>
      </c>
      <c r="BQ38">
        <v>4.8499999999999996</v>
      </c>
      <c r="BR38">
        <v>4.8499999999999996</v>
      </c>
      <c r="BS38">
        <v>4.8499999999999996</v>
      </c>
      <c r="BT38">
        <v>4.8499999999999996</v>
      </c>
      <c r="BU38">
        <v>4.8499999999999996</v>
      </c>
      <c r="BV38">
        <v>5.47</v>
      </c>
      <c r="BW38" s="13">
        <v>5.47</v>
      </c>
      <c r="BX38" s="13">
        <v>5.47</v>
      </c>
      <c r="BY38" s="13">
        <v>5.47</v>
      </c>
      <c r="BZ38" s="13">
        <v>5.47</v>
      </c>
      <c r="CA38" s="13">
        <v>5.47</v>
      </c>
      <c r="CB38" s="13">
        <v>5.47</v>
      </c>
      <c r="CC38" s="13">
        <v>5.47</v>
      </c>
      <c r="CD38" s="13">
        <v>5.47</v>
      </c>
      <c r="CE38" s="13">
        <v>5.47</v>
      </c>
      <c r="CF38" s="13">
        <v>5.47</v>
      </c>
      <c r="CG38" s="13">
        <v>5.47</v>
      </c>
    </row>
    <row r="39" spans="1:85" x14ac:dyDescent="0.3">
      <c r="A39" t="s">
        <v>77</v>
      </c>
      <c r="B39">
        <v>3.79</v>
      </c>
      <c r="C39">
        <v>3.79</v>
      </c>
      <c r="D39">
        <v>3.79</v>
      </c>
      <c r="E39">
        <v>3.79</v>
      </c>
      <c r="F39">
        <v>3.79</v>
      </c>
      <c r="G39">
        <v>3.79</v>
      </c>
      <c r="H39">
        <v>3.79</v>
      </c>
      <c r="I39">
        <v>3.79</v>
      </c>
      <c r="J39">
        <v>3.79</v>
      </c>
      <c r="K39">
        <v>3.79</v>
      </c>
      <c r="L39">
        <v>3.79</v>
      </c>
      <c r="M39">
        <v>3.79</v>
      </c>
      <c r="N39">
        <v>3.82</v>
      </c>
      <c r="O39">
        <v>3.82</v>
      </c>
      <c r="P39">
        <v>3.82</v>
      </c>
      <c r="Q39">
        <v>3.82</v>
      </c>
      <c r="R39">
        <v>3.82</v>
      </c>
      <c r="S39">
        <v>3.82</v>
      </c>
      <c r="T39">
        <v>3.82</v>
      </c>
      <c r="U39">
        <v>3.82</v>
      </c>
      <c r="V39">
        <v>3.82</v>
      </c>
      <c r="W39">
        <v>3.82</v>
      </c>
      <c r="X39">
        <v>3.82</v>
      </c>
      <c r="Y39">
        <v>3.82</v>
      </c>
      <c r="Z39">
        <v>3.82</v>
      </c>
      <c r="AA39">
        <v>3.82</v>
      </c>
      <c r="AB39">
        <v>3.82</v>
      </c>
      <c r="AC39">
        <v>4.21</v>
      </c>
      <c r="AD39">
        <v>4.21</v>
      </c>
      <c r="AE39">
        <v>4.21</v>
      </c>
      <c r="AF39">
        <v>4.21</v>
      </c>
      <c r="AG39">
        <v>4.21</v>
      </c>
      <c r="AH39">
        <v>4.21</v>
      </c>
      <c r="AI39">
        <v>4.21</v>
      </c>
      <c r="AJ39">
        <v>4.21</v>
      </c>
      <c r="AK39">
        <v>4.21</v>
      </c>
      <c r="AL39">
        <v>4.21</v>
      </c>
      <c r="AM39">
        <v>4.21</v>
      </c>
      <c r="AN39">
        <v>4.21</v>
      </c>
      <c r="AO39">
        <v>4.21</v>
      </c>
      <c r="AP39">
        <v>4.21</v>
      </c>
      <c r="AQ39">
        <v>4.21</v>
      </c>
      <c r="AR39">
        <v>4.21</v>
      </c>
      <c r="AS39">
        <v>4.21</v>
      </c>
      <c r="AT39">
        <v>4.21</v>
      </c>
      <c r="AU39">
        <v>4.21</v>
      </c>
      <c r="AV39">
        <v>4.21</v>
      </c>
      <c r="AW39">
        <v>4.21</v>
      </c>
      <c r="AX39">
        <v>4.21</v>
      </c>
      <c r="AY39">
        <v>4.21</v>
      </c>
      <c r="AZ39">
        <v>4.21</v>
      </c>
      <c r="BA39">
        <v>4.21</v>
      </c>
      <c r="BB39">
        <v>4.21</v>
      </c>
      <c r="BC39">
        <v>4.21</v>
      </c>
      <c r="BD39">
        <v>4.21</v>
      </c>
      <c r="BE39">
        <v>4.21</v>
      </c>
      <c r="BF39">
        <v>4.21</v>
      </c>
      <c r="BG39">
        <v>4.21</v>
      </c>
      <c r="BH39">
        <v>4.21</v>
      </c>
      <c r="BI39">
        <v>4.21</v>
      </c>
      <c r="BJ39">
        <v>4.21</v>
      </c>
      <c r="BK39">
        <v>4.21</v>
      </c>
      <c r="BL39">
        <v>4.21</v>
      </c>
      <c r="BM39">
        <v>4.21</v>
      </c>
      <c r="BN39">
        <v>4.21</v>
      </c>
      <c r="BO39">
        <v>4.21</v>
      </c>
      <c r="BP39">
        <v>4.21</v>
      </c>
      <c r="BQ39">
        <v>4.21</v>
      </c>
      <c r="BR39">
        <v>4.21</v>
      </c>
      <c r="BS39">
        <v>4.21</v>
      </c>
      <c r="BT39">
        <v>4.21</v>
      </c>
      <c r="BU39">
        <v>4.21</v>
      </c>
      <c r="BV39">
        <v>5.47</v>
      </c>
      <c r="BW39" s="13">
        <v>5.47</v>
      </c>
      <c r="BX39" s="13">
        <v>5.47</v>
      </c>
      <c r="BY39" s="13">
        <v>5.47</v>
      </c>
      <c r="BZ39" s="13">
        <v>5.47</v>
      </c>
      <c r="CA39" s="13">
        <v>5.47</v>
      </c>
      <c r="CB39" s="13">
        <v>5.47</v>
      </c>
      <c r="CC39" s="13">
        <v>5.47</v>
      </c>
      <c r="CD39" s="13">
        <v>5.47</v>
      </c>
      <c r="CE39" s="13">
        <v>5.47</v>
      </c>
      <c r="CF39" s="13">
        <v>5.47</v>
      </c>
      <c r="CG39" s="13">
        <v>5.47</v>
      </c>
    </row>
    <row r="40" spans="1:85" x14ac:dyDescent="0.3">
      <c r="A40" t="s">
        <v>78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</row>
    <row r="41" spans="1:85" x14ac:dyDescent="0.3">
      <c r="A41" t="s">
        <v>79</v>
      </c>
      <c r="B41">
        <v>3.79</v>
      </c>
      <c r="C41">
        <v>4.79</v>
      </c>
      <c r="D41">
        <v>5.79</v>
      </c>
      <c r="E41">
        <v>6.79</v>
      </c>
      <c r="F41">
        <v>7.79</v>
      </c>
      <c r="G41">
        <v>8.7899999999999991</v>
      </c>
      <c r="H41">
        <v>9.7899999999999991</v>
      </c>
      <c r="I41">
        <v>10.79</v>
      </c>
      <c r="J41">
        <v>11.79</v>
      </c>
      <c r="K41">
        <v>12.79</v>
      </c>
      <c r="L41">
        <v>13.79</v>
      </c>
      <c r="M41">
        <v>14.79</v>
      </c>
      <c r="N41">
        <v>3.82</v>
      </c>
      <c r="O41">
        <v>3.82</v>
      </c>
      <c r="P41">
        <v>3.82</v>
      </c>
      <c r="Q41">
        <v>3.82</v>
      </c>
      <c r="R41">
        <v>3.82</v>
      </c>
      <c r="S41">
        <v>3.82</v>
      </c>
      <c r="T41">
        <v>3.82</v>
      </c>
      <c r="U41">
        <v>3.82</v>
      </c>
      <c r="V41">
        <v>3.82</v>
      </c>
      <c r="W41">
        <v>3.82</v>
      </c>
      <c r="X41">
        <v>3.82</v>
      </c>
      <c r="Y41">
        <v>3.82</v>
      </c>
      <c r="Z41">
        <v>3.82</v>
      </c>
      <c r="AA41">
        <v>3.82</v>
      </c>
      <c r="AB41">
        <v>3.82</v>
      </c>
      <c r="AC41">
        <v>4.21</v>
      </c>
      <c r="AD41">
        <v>4.21</v>
      </c>
      <c r="AE41">
        <v>4.21</v>
      </c>
      <c r="AF41">
        <v>4.21</v>
      </c>
      <c r="AG41">
        <v>4.21</v>
      </c>
      <c r="AH41">
        <v>4.21</v>
      </c>
      <c r="AI41">
        <v>4.21</v>
      </c>
      <c r="AJ41">
        <v>4.21</v>
      </c>
      <c r="AK41">
        <v>4.21</v>
      </c>
      <c r="AL41">
        <v>4.21</v>
      </c>
      <c r="AM41">
        <v>4.21</v>
      </c>
      <c r="AN41">
        <v>4.21</v>
      </c>
      <c r="AO41">
        <v>4.21</v>
      </c>
      <c r="AP41">
        <v>4.21</v>
      </c>
      <c r="AQ41">
        <v>4.21</v>
      </c>
      <c r="AR41">
        <v>5.12</v>
      </c>
      <c r="AS41">
        <v>5.12</v>
      </c>
      <c r="AT41">
        <v>5.12</v>
      </c>
      <c r="AU41">
        <v>5.12</v>
      </c>
      <c r="AV41">
        <v>5.12</v>
      </c>
      <c r="AW41">
        <v>5.12</v>
      </c>
      <c r="AX41">
        <v>5.12</v>
      </c>
      <c r="AY41">
        <v>5.12</v>
      </c>
      <c r="AZ41">
        <v>5.12</v>
      </c>
      <c r="BA41">
        <v>5.12</v>
      </c>
      <c r="BB41">
        <v>5.12</v>
      </c>
      <c r="BC41">
        <v>5.12</v>
      </c>
      <c r="BD41">
        <v>5.12</v>
      </c>
      <c r="BE41">
        <v>5.12</v>
      </c>
      <c r="BF41">
        <v>5.12</v>
      </c>
      <c r="BG41">
        <v>5.12</v>
      </c>
      <c r="BH41">
        <v>5.12</v>
      </c>
      <c r="BI41">
        <v>5.12</v>
      </c>
      <c r="BJ41">
        <v>4.8499999999999996</v>
      </c>
      <c r="BK41">
        <v>4.8499999999999996</v>
      </c>
      <c r="BL41">
        <v>4.8499999999999996</v>
      </c>
      <c r="BM41">
        <v>4.8499999999999996</v>
      </c>
      <c r="BN41">
        <v>4.8499999999999996</v>
      </c>
      <c r="BO41">
        <v>4.8499999999999996</v>
      </c>
      <c r="BP41">
        <v>4.8499999999999996</v>
      </c>
      <c r="BQ41">
        <v>4.8499999999999996</v>
      </c>
      <c r="BR41">
        <v>4.8499999999999996</v>
      </c>
      <c r="BS41">
        <v>4.8499999999999996</v>
      </c>
      <c r="BT41">
        <v>4.8499999999999996</v>
      </c>
      <c r="BU41">
        <v>4.8499999999999996</v>
      </c>
      <c r="BV41">
        <v>5.47</v>
      </c>
      <c r="BW41" s="13">
        <v>5.47</v>
      </c>
      <c r="BX41" s="13">
        <v>5.47</v>
      </c>
      <c r="BY41" s="13">
        <v>5.47</v>
      </c>
      <c r="BZ41" s="13">
        <v>5.47</v>
      </c>
      <c r="CA41" s="13">
        <v>5.47</v>
      </c>
      <c r="CB41" s="13">
        <v>5.47</v>
      </c>
      <c r="CC41" s="13">
        <v>5.47</v>
      </c>
      <c r="CD41" s="13">
        <v>5.47</v>
      </c>
      <c r="CE41" s="13">
        <v>5.47</v>
      </c>
      <c r="CF41" s="13">
        <v>5.47</v>
      </c>
      <c r="CG41" s="13">
        <v>5.47</v>
      </c>
    </row>
    <row r="42" spans="1:85" x14ac:dyDescent="0.3">
      <c r="A42" t="s">
        <v>80</v>
      </c>
      <c r="B42">
        <v>0.19</v>
      </c>
      <c r="C42">
        <v>0.19</v>
      </c>
      <c r="D42">
        <v>0.19</v>
      </c>
      <c r="E42">
        <v>0.19</v>
      </c>
      <c r="F42">
        <v>0.19</v>
      </c>
      <c r="G42">
        <v>0.19</v>
      </c>
      <c r="H42">
        <v>0.19</v>
      </c>
      <c r="I42">
        <v>0.19</v>
      </c>
      <c r="J42">
        <v>0.19</v>
      </c>
      <c r="K42">
        <v>0.19</v>
      </c>
      <c r="L42">
        <v>0.19</v>
      </c>
      <c r="M42">
        <v>0.19</v>
      </c>
      <c r="N42">
        <v>0.22</v>
      </c>
      <c r="O42">
        <v>0.22</v>
      </c>
      <c r="P42">
        <v>0.22</v>
      </c>
      <c r="Q42">
        <v>0.22</v>
      </c>
      <c r="R42">
        <v>0.22</v>
      </c>
      <c r="S42">
        <v>0.22</v>
      </c>
      <c r="T42">
        <v>0.22</v>
      </c>
      <c r="U42">
        <v>0.22</v>
      </c>
      <c r="V42">
        <v>0.22</v>
      </c>
      <c r="W42">
        <v>0.22</v>
      </c>
      <c r="X42">
        <v>0.22</v>
      </c>
      <c r="Y42">
        <v>0.22</v>
      </c>
      <c r="Z42">
        <v>0.22</v>
      </c>
      <c r="AA42">
        <v>0.22</v>
      </c>
      <c r="AB42">
        <v>0.22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</row>
    <row r="43" spans="1:85" x14ac:dyDescent="0.3">
      <c r="A43" t="s">
        <v>81</v>
      </c>
      <c r="B43">
        <v>0.3</v>
      </c>
      <c r="C43">
        <v>0.3</v>
      </c>
      <c r="D43">
        <v>0.3</v>
      </c>
      <c r="E43">
        <v>0.3</v>
      </c>
      <c r="F43">
        <v>0.3</v>
      </c>
      <c r="G43">
        <v>0.3</v>
      </c>
      <c r="H43">
        <v>0.3</v>
      </c>
      <c r="I43">
        <v>0.3</v>
      </c>
      <c r="J43">
        <v>0.3</v>
      </c>
      <c r="K43">
        <v>0.3</v>
      </c>
      <c r="L43">
        <v>0.3</v>
      </c>
      <c r="M43">
        <v>0.3</v>
      </c>
      <c r="N43">
        <v>0.35</v>
      </c>
      <c r="O43">
        <v>0.35</v>
      </c>
      <c r="P43">
        <v>0.35</v>
      </c>
      <c r="Q43">
        <v>0.35</v>
      </c>
      <c r="R43">
        <v>0.35</v>
      </c>
      <c r="S43">
        <v>0.35</v>
      </c>
      <c r="T43">
        <v>0.35</v>
      </c>
      <c r="U43">
        <v>0.35</v>
      </c>
      <c r="V43">
        <v>0.35</v>
      </c>
      <c r="W43">
        <v>0.35</v>
      </c>
      <c r="X43">
        <v>0.35</v>
      </c>
      <c r="Y43">
        <v>0.35</v>
      </c>
      <c r="Z43">
        <v>0.35</v>
      </c>
      <c r="AA43">
        <v>0.35</v>
      </c>
      <c r="AB43">
        <v>0.35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</row>
    <row r="44" spans="1:85" x14ac:dyDescent="0.3">
      <c r="A44" t="s">
        <v>82</v>
      </c>
      <c r="B44">
        <v>1.02</v>
      </c>
      <c r="C44">
        <v>1.02</v>
      </c>
      <c r="D44">
        <v>1.02</v>
      </c>
      <c r="E44">
        <v>1.02</v>
      </c>
      <c r="F44">
        <v>1.02</v>
      </c>
      <c r="G44">
        <v>1.02</v>
      </c>
      <c r="H44">
        <v>1.02</v>
      </c>
      <c r="I44">
        <v>1.02</v>
      </c>
      <c r="J44">
        <v>1.02</v>
      </c>
      <c r="K44">
        <v>1.02</v>
      </c>
      <c r="L44">
        <v>1.02</v>
      </c>
      <c r="M44">
        <v>1.02</v>
      </c>
      <c r="N44">
        <v>1.19</v>
      </c>
      <c r="O44">
        <v>1.19</v>
      </c>
      <c r="P44">
        <v>1.19</v>
      </c>
      <c r="Q44">
        <v>1.19</v>
      </c>
      <c r="R44">
        <v>1.19</v>
      </c>
      <c r="S44">
        <v>1.19</v>
      </c>
      <c r="T44">
        <v>1.19</v>
      </c>
      <c r="U44">
        <v>1.19</v>
      </c>
      <c r="V44">
        <v>1.19</v>
      </c>
      <c r="W44">
        <v>1.19</v>
      </c>
      <c r="X44">
        <v>1.19</v>
      </c>
      <c r="Y44">
        <v>1.19</v>
      </c>
      <c r="Z44">
        <v>1.19</v>
      </c>
      <c r="AA44">
        <v>1.19</v>
      </c>
      <c r="AB44">
        <v>1.19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</row>
    <row r="45" spans="1:85" x14ac:dyDescent="0.3">
      <c r="A45" t="s">
        <v>83</v>
      </c>
      <c r="B45">
        <v>1.95</v>
      </c>
      <c r="C45">
        <v>1.95</v>
      </c>
      <c r="D45">
        <v>1.95</v>
      </c>
      <c r="E45">
        <v>1.95</v>
      </c>
      <c r="F45">
        <v>1.95</v>
      </c>
      <c r="G45">
        <v>1.95</v>
      </c>
      <c r="H45">
        <v>1.95</v>
      </c>
      <c r="I45">
        <v>1.95</v>
      </c>
      <c r="J45">
        <v>1.95</v>
      </c>
      <c r="K45">
        <v>1.95</v>
      </c>
      <c r="L45">
        <v>1.95</v>
      </c>
      <c r="M45">
        <v>1.95</v>
      </c>
      <c r="N45">
        <v>2.2799999999999998</v>
      </c>
      <c r="O45">
        <v>2.2799999999999998</v>
      </c>
      <c r="P45">
        <v>2.2799999999999998</v>
      </c>
      <c r="Q45">
        <v>2.2799999999999998</v>
      </c>
      <c r="R45">
        <v>2.2799999999999998</v>
      </c>
      <c r="S45">
        <v>2.2799999999999998</v>
      </c>
      <c r="T45">
        <v>2.2799999999999998</v>
      </c>
      <c r="U45">
        <v>2.2799999999999998</v>
      </c>
      <c r="V45">
        <v>2.2799999999999998</v>
      </c>
      <c r="W45">
        <v>2.2799999999999998</v>
      </c>
      <c r="X45">
        <v>2.2799999999999998</v>
      </c>
      <c r="Y45">
        <v>2.2799999999999998</v>
      </c>
      <c r="Z45">
        <v>2.2799999999999998</v>
      </c>
      <c r="AA45">
        <v>2.2799999999999998</v>
      </c>
      <c r="AB45">
        <v>2.2799999999999998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</row>
    <row r="46" spans="1:85" x14ac:dyDescent="0.3">
      <c r="A46" t="s">
        <v>84</v>
      </c>
      <c r="B46">
        <v>1.95</v>
      </c>
      <c r="C46">
        <v>1.95</v>
      </c>
      <c r="D46">
        <v>1.95</v>
      </c>
      <c r="E46">
        <v>1.95</v>
      </c>
      <c r="F46">
        <v>1.95</v>
      </c>
      <c r="G46">
        <v>1.95</v>
      </c>
      <c r="H46">
        <v>1.95</v>
      </c>
      <c r="I46">
        <v>1.95</v>
      </c>
      <c r="J46">
        <v>1.95</v>
      </c>
      <c r="K46">
        <v>1.95</v>
      </c>
      <c r="L46">
        <v>1.95</v>
      </c>
      <c r="M46">
        <v>1.95</v>
      </c>
      <c r="N46">
        <v>2.2799999999999998</v>
      </c>
      <c r="O46">
        <v>2.2799999999999998</v>
      </c>
      <c r="P46">
        <v>2.2799999999999998</v>
      </c>
      <c r="Q46">
        <v>2.2799999999999998</v>
      </c>
      <c r="R46">
        <v>2.2799999999999998</v>
      </c>
      <c r="S46">
        <v>2.2799999999999998</v>
      </c>
      <c r="T46">
        <v>2.2799999999999998</v>
      </c>
      <c r="U46">
        <v>2.2799999999999998</v>
      </c>
      <c r="V46">
        <v>2.2799999999999998</v>
      </c>
      <c r="W46">
        <v>2.2799999999999998</v>
      </c>
      <c r="X46">
        <v>2.2799999999999998</v>
      </c>
      <c r="Y46">
        <v>2.2799999999999998</v>
      </c>
      <c r="Z46">
        <v>2.2799999999999998</v>
      </c>
      <c r="AA46">
        <v>2.2799999999999998</v>
      </c>
      <c r="AB46">
        <v>2.2799999999999998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</row>
    <row r="47" spans="1:85" x14ac:dyDescent="0.3">
      <c r="A47" t="s">
        <v>85</v>
      </c>
      <c r="B47">
        <v>3.03</v>
      </c>
      <c r="C47">
        <v>3.03</v>
      </c>
      <c r="D47">
        <v>3.03</v>
      </c>
      <c r="E47">
        <v>3.03</v>
      </c>
      <c r="F47">
        <v>3.03</v>
      </c>
      <c r="G47">
        <v>3.03</v>
      </c>
      <c r="H47">
        <v>3.03</v>
      </c>
      <c r="I47">
        <v>3.03</v>
      </c>
      <c r="J47">
        <v>3.03</v>
      </c>
      <c r="K47">
        <v>3.03</v>
      </c>
      <c r="L47">
        <v>3.03</v>
      </c>
      <c r="M47">
        <v>3.03</v>
      </c>
      <c r="N47">
        <v>3.54</v>
      </c>
      <c r="O47">
        <v>3.54</v>
      </c>
      <c r="P47">
        <v>3.54</v>
      </c>
      <c r="Q47">
        <v>3.54</v>
      </c>
      <c r="R47">
        <v>3.54</v>
      </c>
      <c r="S47">
        <v>3.54</v>
      </c>
      <c r="T47">
        <v>3.54</v>
      </c>
      <c r="U47">
        <v>3.54</v>
      </c>
      <c r="V47">
        <v>3.54</v>
      </c>
      <c r="W47">
        <v>3.54</v>
      </c>
      <c r="X47">
        <v>3.54</v>
      </c>
      <c r="Y47">
        <v>3.54</v>
      </c>
      <c r="Z47">
        <v>3.54</v>
      </c>
      <c r="AA47">
        <v>3.54</v>
      </c>
      <c r="AB47">
        <v>3.54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</row>
    <row r="48" spans="1:85" x14ac:dyDescent="0.3">
      <c r="A48" t="s">
        <v>86</v>
      </c>
      <c r="B48">
        <v>2.2599999999999998</v>
      </c>
      <c r="C48">
        <v>2.2599999999999998</v>
      </c>
      <c r="D48">
        <v>2.2599999999999998</v>
      </c>
      <c r="E48">
        <v>2.2599999999999998</v>
      </c>
      <c r="F48">
        <v>2.2599999999999998</v>
      </c>
      <c r="G48">
        <v>2.2599999999999998</v>
      </c>
      <c r="H48">
        <v>2.2599999999999998</v>
      </c>
      <c r="I48">
        <v>2.2599999999999998</v>
      </c>
      <c r="J48">
        <v>2.2599999999999998</v>
      </c>
      <c r="K48">
        <v>2.2599999999999998</v>
      </c>
      <c r="L48">
        <v>2.2599999999999998</v>
      </c>
      <c r="M48">
        <v>2.2599999999999998</v>
      </c>
      <c r="N48">
        <v>2.64</v>
      </c>
      <c r="O48">
        <v>2.64</v>
      </c>
      <c r="P48">
        <v>2.64</v>
      </c>
      <c r="Q48">
        <v>2.64</v>
      </c>
      <c r="R48">
        <v>2.64</v>
      </c>
      <c r="S48">
        <v>2.64</v>
      </c>
      <c r="T48">
        <v>2.64</v>
      </c>
      <c r="U48">
        <v>2.64</v>
      </c>
      <c r="V48">
        <v>2.64</v>
      </c>
      <c r="W48">
        <v>2.64</v>
      </c>
      <c r="X48">
        <v>2.64</v>
      </c>
      <c r="Y48">
        <v>2.64</v>
      </c>
      <c r="Z48">
        <v>2.64</v>
      </c>
      <c r="AA48">
        <v>2.64</v>
      </c>
      <c r="AB48">
        <v>2.64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</row>
    <row r="49" spans="1:85" x14ac:dyDescent="0.3">
      <c r="A49" t="s">
        <v>87</v>
      </c>
      <c r="B49">
        <v>3.03</v>
      </c>
      <c r="C49">
        <v>3.03</v>
      </c>
      <c r="D49">
        <v>3.03</v>
      </c>
      <c r="E49">
        <v>3.03</v>
      </c>
      <c r="F49">
        <v>3.03</v>
      </c>
      <c r="G49">
        <v>3.03</v>
      </c>
      <c r="H49">
        <v>3.03</v>
      </c>
      <c r="I49">
        <v>3.03</v>
      </c>
      <c r="J49">
        <v>3.03</v>
      </c>
      <c r="K49">
        <v>3.03</v>
      </c>
      <c r="L49">
        <v>3.03</v>
      </c>
      <c r="M49">
        <v>3.03</v>
      </c>
      <c r="N49">
        <v>3.54</v>
      </c>
      <c r="O49">
        <v>3.54</v>
      </c>
      <c r="P49">
        <v>3.54</v>
      </c>
      <c r="Q49">
        <v>3.54</v>
      </c>
      <c r="R49">
        <v>3.54</v>
      </c>
      <c r="S49">
        <v>3.54</v>
      </c>
      <c r="T49">
        <v>3.54</v>
      </c>
      <c r="U49">
        <v>3.54</v>
      </c>
      <c r="V49">
        <v>3.54</v>
      </c>
      <c r="W49">
        <v>3.54</v>
      </c>
      <c r="X49">
        <v>3.54</v>
      </c>
      <c r="Y49">
        <v>3.54</v>
      </c>
      <c r="Z49">
        <v>3.54</v>
      </c>
      <c r="AA49">
        <v>3.54</v>
      </c>
      <c r="AB49">
        <v>3.54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</row>
    <row r="50" spans="1:85" x14ac:dyDescent="0.3">
      <c r="A50" t="s">
        <v>88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</row>
    <row r="51" spans="1:85" x14ac:dyDescent="0.3">
      <c r="A51" t="s">
        <v>89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  <c r="CE51" s="13">
        <v>0</v>
      </c>
      <c r="CF51" s="13">
        <v>0</v>
      </c>
      <c r="CG51" s="13">
        <v>0</v>
      </c>
    </row>
    <row r="52" spans="1:85" x14ac:dyDescent="0.3">
      <c r="A52" t="s">
        <v>90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  <c r="CE52" s="13">
        <v>0</v>
      </c>
      <c r="CF52" s="13">
        <v>0</v>
      </c>
      <c r="CG52" s="13">
        <v>0</v>
      </c>
    </row>
    <row r="53" spans="1:85" x14ac:dyDescent="0.3">
      <c r="A53" t="s">
        <v>91</v>
      </c>
      <c r="B53">
        <v>0.4</v>
      </c>
      <c r="C53">
        <v>0.4</v>
      </c>
      <c r="D53">
        <v>0.4</v>
      </c>
      <c r="E53">
        <v>0.4</v>
      </c>
      <c r="F53">
        <v>0.4</v>
      </c>
      <c r="G53">
        <v>0.4</v>
      </c>
      <c r="H53">
        <v>0.4</v>
      </c>
      <c r="I53">
        <v>0.4</v>
      </c>
      <c r="J53">
        <v>0.4</v>
      </c>
      <c r="K53">
        <v>0.4</v>
      </c>
      <c r="L53">
        <v>0.4</v>
      </c>
      <c r="M53">
        <v>0.4</v>
      </c>
      <c r="N53">
        <v>0.4</v>
      </c>
      <c r="O53">
        <v>0.4</v>
      </c>
      <c r="P53">
        <v>0.4</v>
      </c>
      <c r="Q53">
        <v>0.4</v>
      </c>
      <c r="R53">
        <v>0.4</v>
      </c>
      <c r="S53">
        <v>0.4</v>
      </c>
      <c r="T53">
        <v>0.4</v>
      </c>
      <c r="U53">
        <v>0.4</v>
      </c>
      <c r="V53">
        <v>0.4</v>
      </c>
      <c r="W53">
        <v>0.4</v>
      </c>
      <c r="X53">
        <v>0.4</v>
      </c>
      <c r="Y53">
        <v>0.4</v>
      </c>
      <c r="Z53">
        <v>0.4</v>
      </c>
      <c r="AA53">
        <v>0.4</v>
      </c>
      <c r="AB53">
        <v>0.4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0</v>
      </c>
      <c r="CD53" s="13">
        <v>0</v>
      </c>
      <c r="CE53" s="13">
        <v>0</v>
      </c>
      <c r="CF53" s="13">
        <v>0</v>
      </c>
      <c r="CG53" s="13">
        <v>0</v>
      </c>
    </row>
    <row r="54" spans="1:85" x14ac:dyDescent="0.3">
      <c r="A54" t="s">
        <v>92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  <c r="CE54" s="13">
        <v>0</v>
      </c>
      <c r="CF54" s="13">
        <v>0</v>
      </c>
      <c r="CG54" s="13">
        <v>0</v>
      </c>
    </row>
    <row r="55" spans="1:85" x14ac:dyDescent="0.3">
      <c r="A55" t="s">
        <v>93</v>
      </c>
      <c r="B55">
        <v>0.4</v>
      </c>
      <c r="C55">
        <v>0.4</v>
      </c>
      <c r="D55">
        <v>0.4</v>
      </c>
      <c r="E55">
        <v>0.4</v>
      </c>
      <c r="F55">
        <v>0.4</v>
      </c>
      <c r="G55">
        <v>0.4</v>
      </c>
      <c r="H55">
        <v>0.4</v>
      </c>
      <c r="I55">
        <v>0.4</v>
      </c>
      <c r="J55">
        <v>0.4</v>
      </c>
      <c r="K55">
        <v>0.4</v>
      </c>
      <c r="L55">
        <v>0.4</v>
      </c>
      <c r="M55">
        <v>0.4</v>
      </c>
      <c r="N55">
        <v>0.4</v>
      </c>
      <c r="O55">
        <v>0.4</v>
      </c>
      <c r="P55">
        <v>0.4</v>
      </c>
      <c r="Q55">
        <v>0.4</v>
      </c>
      <c r="R55">
        <v>0.4</v>
      </c>
      <c r="S55">
        <v>0.4</v>
      </c>
      <c r="T55">
        <v>0.4</v>
      </c>
      <c r="U55">
        <v>0.4</v>
      </c>
      <c r="V55">
        <v>0.4</v>
      </c>
      <c r="W55">
        <v>0.4</v>
      </c>
      <c r="X55">
        <v>0.4</v>
      </c>
      <c r="Y55">
        <v>0.4</v>
      </c>
      <c r="Z55">
        <v>0.4</v>
      </c>
      <c r="AA55">
        <v>0.4</v>
      </c>
      <c r="AB55">
        <v>0.4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</row>
    <row r="56" spans="1:85" x14ac:dyDescent="0.3">
      <c r="A56" t="s">
        <v>94</v>
      </c>
      <c r="B56">
        <v>0.27</v>
      </c>
      <c r="C56">
        <v>0.27</v>
      </c>
      <c r="D56">
        <v>0.27</v>
      </c>
      <c r="E56">
        <v>0.27</v>
      </c>
      <c r="F56">
        <v>0.27</v>
      </c>
      <c r="G56">
        <v>0.27</v>
      </c>
      <c r="H56">
        <v>0.27</v>
      </c>
      <c r="I56">
        <v>0.27</v>
      </c>
      <c r="J56">
        <v>0.27</v>
      </c>
      <c r="K56">
        <v>0.27</v>
      </c>
      <c r="L56">
        <v>0.27</v>
      </c>
      <c r="M56">
        <v>0.27</v>
      </c>
      <c r="N56">
        <v>0.27</v>
      </c>
      <c r="O56">
        <v>0.27</v>
      </c>
      <c r="P56">
        <v>0.27</v>
      </c>
      <c r="Q56">
        <v>0.27</v>
      </c>
      <c r="R56">
        <v>0.27</v>
      </c>
      <c r="S56">
        <v>0.27</v>
      </c>
      <c r="T56">
        <v>0.27</v>
      </c>
      <c r="U56">
        <v>0.27</v>
      </c>
      <c r="V56">
        <v>0.27</v>
      </c>
      <c r="W56">
        <v>0.27</v>
      </c>
      <c r="X56">
        <v>0.27</v>
      </c>
      <c r="Y56">
        <v>0.27</v>
      </c>
      <c r="Z56">
        <v>0.27</v>
      </c>
      <c r="AA56">
        <v>0.27</v>
      </c>
      <c r="AB56">
        <v>0.27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 s="13">
        <v>0</v>
      </c>
      <c r="BX56" s="13">
        <v>0</v>
      </c>
      <c r="BY56" s="13">
        <v>0</v>
      </c>
      <c r="BZ56" s="13">
        <v>0</v>
      </c>
      <c r="CA56" s="13">
        <v>0</v>
      </c>
      <c r="CB56" s="13">
        <v>0</v>
      </c>
      <c r="CC56" s="13">
        <v>0</v>
      </c>
      <c r="CD56" s="13">
        <v>0</v>
      </c>
      <c r="CE56" s="13">
        <v>0</v>
      </c>
      <c r="CF56" s="13">
        <v>0</v>
      </c>
      <c r="CG56" s="13">
        <v>0</v>
      </c>
    </row>
    <row r="57" spans="1:85" x14ac:dyDescent="0.3">
      <c r="A57" t="s">
        <v>95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</row>
    <row r="58" spans="1:85" x14ac:dyDescent="0.3">
      <c r="A58" t="s">
        <v>96</v>
      </c>
      <c r="B58">
        <v>0.3105</v>
      </c>
      <c r="C58">
        <v>0.3105</v>
      </c>
      <c r="D58">
        <v>0.3105</v>
      </c>
      <c r="E58">
        <v>0.3105</v>
      </c>
      <c r="F58">
        <v>0.3105</v>
      </c>
      <c r="G58">
        <v>0.3105</v>
      </c>
      <c r="H58">
        <v>0.3105</v>
      </c>
      <c r="I58">
        <v>0.3105</v>
      </c>
      <c r="J58">
        <v>0.3105</v>
      </c>
      <c r="K58">
        <v>0.3105</v>
      </c>
      <c r="L58">
        <v>0.3105</v>
      </c>
      <c r="M58">
        <v>0.3105</v>
      </c>
      <c r="N58">
        <v>0.3105</v>
      </c>
      <c r="O58">
        <v>0.3105</v>
      </c>
      <c r="P58">
        <v>0.3105</v>
      </c>
      <c r="Q58">
        <v>0.3105</v>
      </c>
      <c r="R58">
        <v>0.3105</v>
      </c>
      <c r="S58">
        <v>0.3105</v>
      </c>
      <c r="T58">
        <v>0.3105</v>
      </c>
      <c r="U58">
        <v>0.3105</v>
      </c>
      <c r="V58">
        <v>0.3105</v>
      </c>
      <c r="W58">
        <v>0.3105</v>
      </c>
      <c r="X58">
        <v>0.3105</v>
      </c>
      <c r="Y58">
        <v>0.3105</v>
      </c>
      <c r="Z58">
        <v>0.3105</v>
      </c>
      <c r="AA58">
        <v>0.3105</v>
      </c>
      <c r="AB58">
        <v>0.3105</v>
      </c>
      <c r="AC58">
        <v>0.3105</v>
      </c>
      <c r="AD58">
        <v>0.3105</v>
      </c>
      <c r="AE58">
        <v>0.3105</v>
      </c>
      <c r="AF58">
        <v>0.3105</v>
      </c>
      <c r="AG58">
        <v>0.3105</v>
      </c>
      <c r="AH58">
        <v>0.3105</v>
      </c>
      <c r="AI58">
        <v>0.3105</v>
      </c>
      <c r="AJ58">
        <v>0.3105</v>
      </c>
      <c r="AK58">
        <v>0.3105</v>
      </c>
      <c r="AL58">
        <v>0.3105</v>
      </c>
      <c r="AM58">
        <v>0.3105</v>
      </c>
      <c r="AN58">
        <v>0.3105</v>
      </c>
      <c r="AO58">
        <v>0.3105</v>
      </c>
      <c r="AP58">
        <v>0.3105</v>
      </c>
      <c r="AQ58">
        <v>0.3105</v>
      </c>
      <c r="AR58">
        <v>0.35849999999999999</v>
      </c>
      <c r="AS58">
        <v>0.35849999999999999</v>
      </c>
      <c r="AT58">
        <v>0.35849999999999999</v>
      </c>
      <c r="AU58">
        <v>0.35849999999999999</v>
      </c>
      <c r="AV58">
        <v>0.35849999999999999</v>
      </c>
      <c r="AW58">
        <v>0.35849999999999999</v>
      </c>
      <c r="AX58">
        <v>0.35849999999999999</v>
      </c>
      <c r="AY58">
        <v>0.35849999999999999</v>
      </c>
      <c r="AZ58">
        <v>0.35849999999999999</v>
      </c>
      <c r="BA58">
        <v>0.35849999999999999</v>
      </c>
      <c r="BB58">
        <v>0.35849999999999999</v>
      </c>
      <c r="BC58">
        <v>0.35849999999999999</v>
      </c>
      <c r="BD58">
        <v>0.35849999999999999</v>
      </c>
      <c r="BE58">
        <v>0.35849999999999999</v>
      </c>
      <c r="BF58">
        <v>0.35849999999999999</v>
      </c>
      <c r="BG58">
        <v>0.35849999999999999</v>
      </c>
      <c r="BH58">
        <v>0.35849999999999999</v>
      </c>
      <c r="BI58">
        <v>0.35849999999999999</v>
      </c>
      <c r="BJ58">
        <v>0.35849999999999999</v>
      </c>
      <c r="BK58">
        <v>0.35849999999999999</v>
      </c>
      <c r="BL58">
        <v>0.35849999999999999</v>
      </c>
      <c r="BM58">
        <v>0.35849999999999999</v>
      </c>
      <c r="BN58">
        <v>0.35849999999999999</v>
      </c>
      <c r="BO58">
        <v>0.35849999999999999</v>
      </c>
      <c r="BP58">
        <v>0.35849999999999999</v>
      </c>
      <c r="BQ58">
        <v>0.35849999999999999</v>
      </c>
      <c r="BR58">
        <v>0.35849999999999999</v>
      </c>
      <c r="BS58">
        <v>0.35849999999999999</v>
      </c>
      <c r="BT58">
        <v>0.35849999999999999</v>
      </c>
      <c r="BU58">
        <v>0.35849999999999999</v>
      </c>
      <c r="BV58">
        <v>0.39800000000000002</v>
      </c>
      <c r="BW58" s="13">
        <v>0.39800000000000002</v>
      </c>
      <c r="BX58" s="13">
        <v>0.39800000000000002</v>
      </c>
      <c r="BY58" s="13">
        <v>0.39800000000000002</v>
      </c>
      <c r="BZ58" s="13">
        <v>0.39800000000000002</v>
      </c>
      <c r="CA58" s="13">
        <v>0.39800000000000002</v>
      </c>
      <c r="CB58" s="13">
        <v>0.39800000000000002</v>
      </c>
      <c r="CC58" s="13">
        <v>0.39800000000000002</v>
      </c>
      <c r="CD58" s="13">
        <v>0.39800000000000002</v>
      </c>
      <c r="CE58" s="13">
        <v>0.39800000000000002</v>
      </c>
      <c r="CF58" s="13">
        <v>0.39800000000000002</v>
      </c>
      <c r="CG58" s="13">
        <v>0.39800000000000002</v>
      </c>
    </row>
    <row r="59" spans="1:85" x14ac:dyDescent="0.3">
      <c r="A59" t="s">
        <v>97</v>
      </c>
      <c r="B59">
        <v>0.3105</v>
      </c>
      <c r="C59">
        <v>0.3105</v>
      </c>
      <c r="D59">
        <v>0.3105</v>
      </c>
      <c r="E59">
        <v>0.3105</v>
      </c>
      <c r="F59">
        <v>0.3105</v>
      </c>
      <c r="G59">
        <v>0.3105</v>
      </c>
      <c r="H59">
        <v>0.3105</v>
      </c>
      <c r="I59">
        <v>0.3105</v>
      </c>
      <c r="J59">
        <v>0.3105</v>
      </c>
      <c r="K59">
        <v>0.3105</v>
      </c>
      <c r="L59">
        <v>0.3105</v>
      </c>
      <c r="M59">
        <v>0.3105</v>
      </c>
      <c r="N59">
        <v>0.3105</v>
      </c>
      <c r="O59">
        <v>0.3105</v>
      </c>
      <c r="P59">
        <v>0.3105</v>
      </c>
      <c r="Q59">
        <v>0.3105</v>
      </c>
      <c r="R59">
        <v>0.3105</v>
      </c>
      <c r="S59">
        <v>0.3105</v>
      </c>
      <c r="T59">
        <v>0.3105</v>
      </c>
      <c r="U59">
        <v>0.3105</v>
      </c>
      <c r="V59">
        <v>0.3105</v>
      </c>
      <c r="W59">
        <v>0.3105</v>
      </c>
      <c r="X59">
        <v>0.3105</v>
      </c>
      <c r="Y59">
        <v>0.3105</v>
      </c>
      <c r="Z59">
        <v>0.3105</v>
      </c>
      <c r="AA59">
        <v>0.3105</v>
      </c>
      <c r="AB59">
        <v>0.3105</v>
      </c>
      <c r="AC59">
        <v>0.3105</v>
      </c>
      <c r="AD59">
        <v>0.3105</v>
      </c>
      <c r="AE59">
        <v>0.3105</v>
      </c>
      <c r="AF59">
        <v>0.3105</v>
      </c>
      <c r="AG59">
        <v>0.3105</v>
      </c>
      <c r="AH59">
        <v>0.3105</v>
      </c>
      <c r="AI59">
        <v>0.3105</v>
      </c>
      <c r="AJ59">
        <v>0.3105</v>
      </c>
      <c r="AK59">
        <v>0.3105</v>
      </c>
      <c r="AL59">
        <v>0.3105</v>
      </c>
      <c r="AM59">
        <v>0.3105</v>
      </c>
      <c r="AN59">
        <v>0.3105</v>
      </c>
      <c r="AO59">
        <v>0.3105</v>
      </c>
      <c r="AP59">
        <v>0.3105</v>
      </c>
      <c r="AQ59">
        <v>0.3105</v>
      </c>
      <c r="AR59">
        <v>0.35849999999999999</v>
      </c>
      <c r="AS59">
        <v>0.35849999999999999</v>
      </c>
      <c r="AT59">
        <v>0.35849999999999999</v>
      </c>
      <c r="AU59">
        <v>0.35849999999999999</v>
      </c>
      <c r="AV59">
        <v>0.35849999999999999</v>
      </c>
      <c r="AW59">
        <v>0.35849999999999999</v>
      </c>
      <c r="AX59">
        <v>0.35849999999999999</v>
      </c>
      <c r="AY59">
        <v>0.35849999999999999</v>
      </c>
      <c r="AZ59">
        <v>0.35849999999999999</v>
      </c>
      <c r="BA59">
        <v>0.35849999999999999</v>
      </c>
      <c r="BB59">
        <v>0.35849999999999999</v>
      </c>
      <c r="BC59">
        <v>0.35849999999999999</v>
      </c>
      <c r="BD59">
        <v>0.35849999999999999</v>
      </c>
      <c r="BE59">
        <v>0.35849999999999999</v>
      </c>
      <c r="BF59">
        <v>0.35849999999999999</v>
      </c>
      <c r="BG59">
        <v>0.35849999999999999</v>
      </c>
      <c r="BH59">
        <v>0.35849999999999999</v>
      </c>
      <c r="BI59">
        <v>0.35849999999999999</v>
      </c>
      <c r="BJ59">
        <v>0.35849999999999999</v>
      </c>
      <c r="BK59">
        <v>0.35849999999999999</v>
      </c>
      <c r="BL59">
        <v>0.35849999999999999</v>
      </c>
      <c r="BM59">
        <v>0.35849999999999999</v>
      </c>
      <c r="BN59">
        <v>0.35849999999999999</v>
      </c>
      <c r="BO59">
        <v>0.35849999999999999</v>
      </c>
      <c r="BP59">
        <v>0.35849999999999999</v>
      </c>
      <c r="BQ59">
        <v>0.35849999999999999</v>
      </c>
      <c r="BR59">
        <v>0.35849999999999999</v>
      </c>
      <c r="BS59">
        <v>0.35849999999999999</v>
      </c>
      <c r="BT59">
        <v>0.35849999999999999</v>
      </c>
      <c r="BU59">
        <v>0.35849999999999999</v>
      </c>
      <c r="BV59">
        <v>0.39800000000000002</v>
      </c>
      <c r="BW59" s="13">
        <v>0.39800000000000002</v>
      </c>
      <c r="BX59" s="13">
        <v>0.39800000000000002</v>
      </c>
      <c r="BY59" s="13">
        <v>0.39800000000000002</v>
      </c>
      <c r="BZ59" s="13">
        <v>0.39800000000000002</v>
      </c>
      <c r="CA59" s="13">
        <v>0.39800000000000002</v>
      </c>
      <c r="CB59" s="13">
        <v>0.39800000000000002</v>
      </c>
      <c r="CC59" s="13">
        <v>0.39800000000000002</v>
      </c>
      <c r="CD59" s="13">
        <v>0.39800000000000002</v>
      </c>
      <c r="CE59" s="13">
        <v>0.39800000000000002</v>
      </c>
      <c r="CF59" s="13">
        <v>0.39800000000000002</v>
      </c>
      <c r="CG59" s="13">
        <v>0.39800000000000002</v>
      </c>
    </row>
    <row r="60" spans="1:85" x14ac:dyDescent="0.3">
      <c r="A60" t="s">
        <v>98</v>
      </c>
      <c r="B60">
        <v>0.3105</v>
      </c>
      <c r="C60">
        <v>0.3105</v>
      </c>
      <c r="D60">
        <v>0.3105</v>
      </c>
      <c r="E60">
        <v>0.3105</v>
      </c>
      <c r="F60">
        <v>0.3105</v>
      </c>
      <c r="G60">
        <v>0.3105</v>
      </c>
      <c r="H60">
        <v>0.3105</v>
      </c>
      <c r="I60">
        <v>0.3105</v>
      </c>
      <c r="J60">
        <v>0.3105</v>
      </c>
      <c r="K60">
        <v>0.3105</v>
      </c>
      <c r="L60">
        <v>0.3105</v>
      </c>
      <c r="M60">
        <v>0.3105</v>
      </c>
      <c r="N60">
        <v>0.3105</v>
      </c>
      <c r="O60">
        <v>0.3105</v>
      </c>
      <c r="P60">
        <v>0.3105</v>
      </c>
      <c r="Q60">
        <v>0.3105</v>
      </c>
      <c r="R60">
        <v>0.3105</v>
      </c>
      <c r="S60">
        <v>0.3105</v>
      </c>
      <c r="T60">
        <v>0.3105</v>
      </c>
      <c r="U60">
        <v>0.3105</v>
      </c>
      <c r="V60">
        <v>0.3105</v>
      </c>
      <c r="W60">
        <v>0.3105</v>
      </c>
      <c r="X60">
        <v>0.3105</v>
      </c>
      <c r="Y60">
        <v>0.3105</v>
      </c>
      <c r="Z60">
        <v>0.3105</v>
      </c>
      <c r="AA60">
        <v>0.3105</v>
      </c>
      <c r="AB60">
        <v>0.3105</v>
      </c>
      <c r="AC60">
        <v>0.3105</v>
      </c>
      <c r="AD60">
        <v>0.3105</v>
      </c>
      <c r="AE60">
        <v>0.3105</v>
      </c>
      <c r="AF60">
        <v>0.3105</v>
      </c>
      <c r="AG60">
        <v>0.3105</v>
      </c>
      <c r="AH60">
        <v>0.3105</v>
      </c>
      <c r="AI60">
        <v>0.3105</v>
      </c>
      <c r="AJ60">
        <v>0.3105</v>
      </c>
      <c r="AK60">
        <v>0.3105</v>
      </c>
      <c r="AL60">
        <v>0.3105</v>
      </c>
      <c r="AM60">
        <v>0.3105</v>
      </c>
      <c r="AN60">
        <v>0.3105</v>
      </c>
      <c r="AO60">
        <v>0.3105</v>
      </c>
      <c r="AP60">
        <v>0.3105</v>
      </c>
      <c r="AQ60">
        <v>0.3105</v>
      </c>
      <c r="AR60">
        <v>0.35849999999999999</v>
      </c>
      <c r="AS60">
        <v>0.35849999999999999</v>
      </c>
      <c r="AT60">
        <v>0.35849999999999999</v>
      </c>
      <c r="AU60">
        <v>0.35849999999999999</v>
      </c>
      <c r="AV60">
        <v>0.35849999999999999</v>
      </c>
      <c r="AW60">
        <v>0.35849999999999999</v>
      </c>
      <c r="AX60">
        <v>0.35849999999999999</v>
      </c>
      <c r="AY60">
        <v>0.35849999999999999</v>
      </c>
      <c r="AZ60">
        <v>0.35849999999999999</v>
      </c>
      <c r="BA60">
        <v>0.35849999999999999</v>
      </c>
      <c r="BB60">
        <v>0.35849999999999999</v>
      </c>
      <c r="BC60">
        <v>0.35849999999999999</v>
      </c>
      <c r="BD60">
        <v>0.35849999999999999</v>
      </c>
      <c r="BE60">
        <v>0.35849999999999999</v>
      </c>
      <c r="BF60">
        <v>0.35849999999999999</v>
      </c>
      <c r="BG60">
        <v>0.35849999999999999</v>
      </c>
      <c r="BH60">
        <v>0.35849999999999999</v>
      </c>
      <c r="BI60">
        <v>0.35849999999999999</v>
      </c>
      <c r="BJ60">
        <v>0.35849999999999999</v>
      </c>
      <c r="BK60">
        <v>0.35849999999999999</v>
      </c>
      <c r="BL60">
        <v>0.35849999999999999</v>
      </c>
      <c r="BM60">
        <v>0.35849999999999999</v>
      </c>
      <c r="BN60">
        <v>0.35849999999999999</v>
      </c>
      <c r="BO60">
        <v>0.35849999999999999</v>
      </c>
      <c r="BP60">
        <v>0.35849999999999999</v>
      </c>
      <c r="BQ60">
        <v>0.35849999999999999</v>
      </c>
      <c r="BR60">
        <v>0.35849999999999999</v>
      </c>
      <c r="BS60">
        <v>0.35849999999999999</v>
      </c>
      <c r="BT60">
        <v>0.35849999999999999</v>
      </c>
      <c r="BU60">
        <v>0.35849999999999999</v>
      </c>
      <c r="BV60">
        <v>0.39800000000000002</v>
      </c>
      <c r="BW60" s="13">
        <v>0.39800000000000002</v>
      </c>
      <c r="BX60" s="13">
        <v>0.39800000000000002</v>
      </c>
      <c r="BY60" s="13">
        <v>0.39800000000000002</v>
      </c>
      <c r="BZ60" s="13">
        <v>0.39800000000000002</v>
      </c>
      <c r="CA60" s="13">
        <v>0.39800000000000002</v>
      </c>
      <c r="CB60" s="13">
        <v>0.39800000000000002</v>
      </c>
      <c r="CC60" s="13">
        <v>0.39800000000000002</v>
      </c>
      <c r="CD60" s="13">
        <v>0.39800000000000002</v>
      </c>
      <c r="CE60" s="13">
        <v>0.39800000000000002</v>
      </c>
      <c r="CF60" s="13">
        <v>0.39800000000000002</v>
      </c>
      <c r="CG60" s="13">
        <v>0.39800000000000002</v>
      </c>
    </row>
    <row r="61" spans="1:85" x14ac:dyDescent="0.3">
      <c r="A61" t="s">
        <v>99</v>
      </c>
      <c r="B61">
        <v>0.3105</v>
      </c>
      <c r="C61">
        <v>0.3105</v>
      </c>
      <c r="D61">
        <v>0.3105</v>
      </c>
      <c r="E61">
        <v>0.3105</v>
      </c>
      <c r="F61">
        <v>0.3105</v>
      </c>
      <c r="G61">
        <v>0.3105</v>
      </c>
      <c r="H61">
        <v>0.3105</v>
      </c>
      <c r="I61">
        <v>0.3105</v>
      </c>
      <c r="J61">
        <v>0.3105</v>
      </c>
      <c r="K61">
        <v>0.3105</v>
      </c>
      <c r="L61">
        <v>0.3105</v>
      </c>
      <c r="M61">
        <v>0.3105</v>
      </c>
      <c r="N61">
        <v>0.3105</v>
      </c>
      <c r="O61">
        <v>0.3105</v>
      </c>
      <c r="P61">
        <v>0.3105</v>
      </c>
      <c r="Q61">
        <v>0.3105</v>
      </c>
      <c r="R61">
        <v>0.3105</v>
      </c>
      <c r="S61">
        <v>0.3105</v>
      </c>
      <c r="T61">
        <v>0.3105</v>
      </c>
      <c r="U61">
        <v>0.3105</v>
      </c>
      <c r="V61">
        <v>0.3105</v>
      </c>
      <c r="W61">
        <v>0.3105</v>
      </c>
      <c r="X61">
        <v>0.3105</v>
      </c>
      <c r="Y61">
        <v>0.3105</v>
      </c>
      <c r="Z61">
        <v>0.3105</v>
      </c>
      <c r="AA61">
        <v>0.3105</v>
      </c>
      <c r="AB61">
        <v>0.3105</v>
      </c>
      <c r="AC61">
        <v>0.3105</v>
      </c>
      <c r="AD61">
        <v>0.3105</v>
      </c>
      <c r="AE61">
        <v>0.3105</v>
      </c>
      <c r="AF61">
        <v>0.3105</v>
      </c>
      <c r="AG61">
        <v>0.3105</v>
      </c>
      <c r="AH61">
        <v>0.3105</v>
      </c>
      <c r="AI61">
        <v>0.3105</v>
      </c>
      <c r="AJ61">
        <v>0.3105</v>
      </c>
      <c r="AK61">
        <v>0.3105</v>
      </c>
      <c r="AL61">
        <v>0.3105</v>
      </c>
      <c r="AM61">
        <v>0.3105</v>
      </c>
      <c r="AN61">
        <v>0.3105</v>
      </c>
      <c r="AO61">
        <v>0.3105</v>
      </c>
      <c r="AP61">
        <v>0.3105</v>
      </c>
      <c r="AQ61">
        <v>0.3105</v>
      </c>
      <c r="AR61">
        <v>0.35849999999999999</v>
      </c>
      <c r="AS61">
        <v>0.35849999999999999</v>
      </c>
      <c r="AT61">
        <v>0.35849999999999999</v>
      </c>
      <c r="AU61">
        <v>0.35849999999999999</v>
      </c>
      <c r="AV61">
        <v>0.35849999999999999</v>
      </c>
      <c r="AW61">
        <v>0.35849999999999999</v>
      </c>
      <c r="AX61">
        <v>0.35849999999999999</v>
      </c>
      <c r="AY61">
        <v>0.35849999999999999</v>
      </c>
      <c r="AZ61">
        <v>0.35849999999999999</v>
      </c>
      <c r="BA61">
        <v>0.35849999999999999</v>
      </c>
      <c r="BB61">
        <v>0.35849999999999999</v>
      </c>
      <c r="BC61">
        <v>0.35849999999999999</v>
      </c>
      <c r="BD61">
        <v>0.35849999999999999</v>
      </c>
      <c r="BE61">
        <v>0.35849999999999999</v>
      </c>
      <c r="BF61">
        <v>0.35849999999999999</v>
      </c>
      <c r="BG61">
        <v>0.35849999999999999</v>
      </c>
      <c r="BH61">
        <v>0.35849999999999999</v>
      </c>
      <c r="BI61">
        <v>0.35849999999999999</v>
      </c>
      <c r="BJ61">
        <v>0.35849999999999999</v>
      </c>
      <c r="BK61">
        <v>0.35849999999999999</v>
      </c>
      <c r="BL61">
        <v>0.35849999999999999</v>
      </c>
      <c r="BM61">
        <v>0.35849999999999999</v>
      </c>
      <c r="BN61">
        <v>0.35849999999999999</v>
      </c>
      <c r="BO61">
        <v>0.35849999999999999</v>
      </c>
      <c r="BP61">
        <v>0.35849999999999999</v>
      </c>
      <c r="BQ61">
        <v>0.35849999999999999</v>
      </c>
      <c r="BR61">
        <v>0.35849999999999999</v>
      </c>
      <c r="BS61">
        <v>0.35849999999999999</v>
      </c>
      <c r="BT61">
        <v>0.35849999999999999</v>
      </c>
      <c r="BU61">
        <v>0.35849999999999999</v>
      </c>
      <c r="BV61">
        <v>0.39800000000000002</v>
      </c>
      <c r="BW61" s="13">
        <v>0.39800000000000002</v>
      </c>
      <c r="BX61" s="13">
        <v>0.39800000000000002</v>
      </c>
      <c r="BY61" s="13">
        <v>0.39800000000000002</v>
      </c>
      <c r="BZ61" s="13">
        <v>0.39800000000000002</v>
      </c>
      <c r="CA61" s="13">
        <v>0.39800000000000002</v>
      </c>
      <c r="CB61" s="13">
        <v>0.39800000000000002</v>
      </c>
      <c r="CC61" s="13">
        <v>0.39800000000000002</v>
      </c>
      <c r="CD61" s="13">
        <v>0.39800000000000002</v>
      </c>
      <c r="CE61" s="13">
        <v>0.39800000000000002</v>
      </c>
      <c r="CF61" s="13">
        <v>0.39800000000000002</v>
      </c>
      <c r="CG61" s="13">
        <v>0.39800000000000002</v>
      </c>
    </row>
    <row r="62" spans="1:85" x14ac:dyDescent="0.3">
      <c r="A62" t="s">
        <v>100</v>
      </c>
      <c r="B62">
        <v>0.3105</v>
      </c>
      <c r="C62">
        <v>0.3105</v>
      </c>
      <c r="D62">
        <v>0.3105</v>
      </c>
      <c r="E62">
        <v>0.3105</v>
      </c>
      <c r="F62">
        <v>0.3105</v>
      </c>
      <c r="G62">
        <v>0.3105</v>
      </c>
      <c r="H62">
        <v>0.3105</v>
      </c>
      <c r="I62">
        <v>0.3105</v>
      </c>
      <c r="J62">
        <v>0.3105</v>
      </c>
      <c r="K62">
        <v>0.3105</v>
      </c>
      <c r="L62">
        <v>0.3105</v>
      </c>
      <c r="M62">
        <v>0.3105</v>
      </c>
      <c r="N62">
        <v>0.3105</v>
      </c>
      <c r="O62">
        <v>0.3105</v>
      </c>
      <c r="P62">
        <v>0.3105</v>
      </c>
      <c r="Q62">
        <v>0.3105</v>
      </c>
      <c r="R62">
        <v>0.3105</v>
      </c>
      <c r="S62">
        <v>0.3105</v>
      </c>
      <c r="T62">
        <v>0.3105</v>
      </c>
      <c r="U62">
        <v>0.3105</v>
      </c>
      <c r="V62">
        <v>0.3105</v>
      </c>
      <c r="W62">
        <v>0.3105</v>
      </c>
      <c r="X62">
        <v>0.3105</v>
      </c>
      <c r="Y62">
        <v>0.3105</v>
      </c>
      <c r="Z62">
        <v>0.3105</v>
      </c>
      <c r="AA62">
        <v>0.3105</v>
      </c>
      <c r="AB62">
        <v>0.3105</v>
      </c>
      <c r="AC62">
        <v>0.3105</v>
      </c>
      <c r="AD62">
        <v>0.3105</v>
      </c>
      <c r="AE62">
        <v>0.3105</v>
      </c>
      <c r="AF62">
        <v>0.3105</v>
      </c>
      <c r="AG62">
        <v>0.3105</v>
      </c>
      <c r="AH62">
        <v>0.3105</v>
      </c>
      <c r="AI62">
        <v>0.3105</v>
      </c>
      <c r="AJ62">
        <v>0.3105</v>
      </c>
      <c r="AK62">
        <v>0.3105</v>
      </c>
      <c r="AL62">
        <v>0.3105</v>
      </c>
      <c r="AM62">
        <v>0.3105</v>
      </c>
      <c r="AN62">
        <v>0.3105</v>
      </c>
      <c r="AO62">
        <v>0.3105</v>
      </c>
      <c r="AP62">
        <v>0.3105</v>
      </c>
      <c r="AQ62">
        <v>0.3105</v>
      </c>
      <c r="AR62">
        <v>0.35849999999999999</v>
      </c>
      <c r="AS62">
        <v>0.35849999999999999</v>
      </c>
      <c r="AT62">
        <v>0.35849999999999999</v>
      </c>
      <c r="AU62">
        <v>0.35849999999999999</v>
      </c>
      <c r="AV62">
        <v>0.35849999999999999</v>
      </c>
      <c r="AW62">
        <v>0.35849999999999999</v>
      </c>
      <c r="AX62">
        <v>0.35849999999999999</v>
      </c>
      <c r="AY62">
        <v>0.35849999999999999</v>
      </c>
      <c r="AZ62">
        <v>0.35849999999999999</v>
      </c>
      <c r="BA62">
        <v>0.35849999999999999</v>
      </c>
      <c r="BB62">
        <v>0.35849999999999999</v>
      </c>
      <c r="BC62">
        <v>0.35849999999999999</v>
      </c>
      <c r="BD62">
        <v>0.35849999999999999</v>
      </c>
      <c r="BE62">
        <v>0.35849999999999999</v>
      </c>
      <c r="BF62">
        <v>0.35849999999999999</v>
      </c>
      <c r="BG62">
        <v>0.35849999999999999</v>
      </c>
      <c r="BH62">
        <v>0.35849999999999999</v>
      </c>
      <c r="BI62">
        <v>0.35849999999999999</v>
      </c>
      <c r="BJ62">
        <v>0.35849999999999999</v>
      </c>
      <c r="BK62">
        <v>0.35849999999999999</v>
      </c>
      <c r="BL62">
        <v>0.35849999999999999</v>
      </c>
      <c r="BM62">
        <v>0.35849999999999999</v>
      </c>
      <c r="BN62">
        <v>0.35849999999999999</v>
      </c>
      <c r="BO62">
        <v>0.35849999999999999</v>
      </c>
      <c r="BP62">
        <v>0.35849999999999999</v>
      </c>
      <c r="BQ62">
        <v>0.35849999999999999</v>
      </c>
      <c r="BR62">
        <v>0.35849999999999999</v>
      </c>
      <c r="BS62">
        <v>0.35849999999999999</v>
      </c>
      <c r="BT62">
        <v>0.35849999999999999</v>
      </c>
      <c r="BU62">
        <v>0.35849999999999999</v>
      </c>
      <c r="BV62">
        <v>0.39800000000000002</v>
      </c>
      <c r="BW62" s="13">
        <v>0.39800000000000002</v>
      </c>
      <c r="BX62" s="13">
        <v>0.39800000000000002</v>
      </c>
      <c r="BY62" s="13">
        <v>0.39800000000000002</v>
      </c>
      <c r="BZ62" s="13">
        <v>0.39800000000000002</v>
      </c>
      <c r="CA62" s="13">
        <v>0.39800000000000002</v>
      </c>
      <c r="CB62" s="13">
        <v>0.39800000000000002</v>
      </c>
      <c r="CC62" s="13">
        <v>0.39800000000000002</v>
      </c>
      <c r="CD62" s="13">
        <v>0.39800000000000002</v>
      </c>
      <c r="CE62" s="13">
        <v>0.39800000000000002</v>
      </c>
      <c r="CF62" s="13">
        <v>0.39800000000000002</v>
      </c>
      <c r="CG62" s="13">
        <v>0.39800000000000002</v>
      </c>
    </row>
    <row r="63" spans="1:85" x14ac:dyDescent="0.3">
      <c r="A63" t="s">
        <v>101</v>
      </c>
      <c r="B63">
        <v>0.3105</v>
      </c>
      <c r="C63">
        <v>0.3105</v>
      </c>
      <c r="D63">
        <v>0.3105</v>
      </c>
      <c r="E63">
        <v>0.3105</v>
      </c>
      <c r="F63">
        <v>0.3105</v>
      </c>
      <c r="G63">
        <v>0.3105</v>
      </c>
      <c r="H63">
        <v>0.3105</v>
      </c>
      <c r="I63">
        <v>0.3105</v>
      </c>
      <c r="J63">
        <v>0.3105</v>
      </c>
      <c r="K63">
        <v>0.3105</v>
      </c>
      <c r="L63">
        <v>0.3105</v>
      </c>
      <c r="M63">
        <v>0.3105</v>
      </c>
      <c r="N63">
        <v>0.3105</v>
      </c>
      <c r="O63">
        <v>0.3105</v>
      </c>
      <c r="P63">
        <v>0.3105</v>
      </c>
      <c r="Q63">
        <v>0.3105</v>
      </c>
      <c r="R63">
        <v>0.3105</v>
      </c>
      <c r="S63">
        <v>0.3105</v>
      </c>
      <c r="T63">
        <v>0.3105</v>
      </c>
      <c r="U63">
        <v>0.3105</v>
      </c>
      <c r="V63">
        <v>0.3105</v>
      </c>
      <c r="W63">
        <v>0.3105</v>
      </c>
      <c r="X63">
        <v>0.3105</v>
      </c>
      <c r="Y63">
        <v>0.3105</v>
      </c>
      <c r="Z63">
        <v>0.3105</v>
      </c>
      <c r="AA63">
        <v>0.3105</v>
      </c>
      <c r="AB63">
        <v>0.3105</v>
      </c>
      <c r="AC63">
        <v>0.3105</v>
      </c>
      <c r="AD63">
        <v>0.3105</v>
      </c>
      <c r="AE63">
        <v>0.3105</v>
      </c>
      <c r="AF63">
        <v>0.3105</v>
      </c>
      <c r="AG63">
        <v>0.3105</v>
      </c>
      <c r="AH63">
        <v>0.3105</v>
      </c>
      <c r="AI63">
        <v>0.3105</v>
      </c>
      <c r="AJ63">
        <v>0.3105</v>
      </c>
      <c r="AK63">
        <v>0.3105</v>
      </c>
      <c r="AL63">
        <v>0.3105</v>
      </c>
      <c r="AM63">
        <v>0.3105</v>
      </c>
      <c r="AN63">
        <v>0.3105</v>
      </c>
      <c r="AO63">
        <v>0.3105</v>
      </c>
      <c r="AP63">
        <v>0.3105</v>
      </c>
      <c r="AQ63">
        <v>0.3105</v>
      </c>
      <c r="AR63">
        <v>0.35849999999999999</v>
      </c>
      <c r="AS63">
        <v>0.35849999999999999</v>
      </c>
      <c r="AT63">
        <v>0.35849999999999999</v>
      </c>
      <c r="AU63">
        <v>0.35849999999999999</v>
      </c>
      <c r="AV63">
        <v>0.35849999999999999</v>
      </c>
      <c r="AW63">
        <v>0.35849999999999999</v>
      </c>
      <c r="AX63">
        <v>0.35849999999999999</v>
      </c>
      <c r="AY63">
        <v>0.35849999999999999</v>
      </c>
      <c r="AZ63">
        <v>0.35849999999999999</v>
      </c>
      <c r="BA63">
        <v>0.35849999999999999</v>
      </c>
      <c r="BB63">
        <v>0.35849999999999999</v>
      </c>
      <c r="BC63">
        <v>0.35849999999999999</v>
      </c>
      <c r="BD63">
        <v>0.35849999999999999</v>
      </c>
      <c r="BE63">
        <v>0.35849999999999999</v>
      </c>
      <c r="BF63">
        <v>0.35849999999999999</v>
      </c>
      <c r="BG63">
        <v>0.35849999999999999</v>
      </c>
      <c r="BH63">
        <v>0.35849999999999999</v>
      </c>
      <c r="BI63">
        <v>0.35849999999999999</v>
      </c>
      <c r="BJ63">
        <v>0.35849999999999999</v>
      </c>
      <c r="BK63">
        <v>0.35849999999999999</v>
      </c>
      <c r="BL63">
        <v>0.35849999999999999</v>
      </c>
      <c r="BM63">
        <v>0.35849999999999999</v>
      </c>
      <c r="BN63">
        <v>0.35849999999999999</v>
      </c>
      <c r="BO63">
        <v>0.35849999999999999</v>
      </c>
      <c r="BP63">
        <v>0.35849999999999999</v>
      </c>
      <c r="BQ63">
        <v>0.35849999999999999</v>
      </c>
      <c r="BR63">
        <v>0.35849999999999999</v>
      </c>
      <c r="BS63">
        <v>0.35849999999999999</v>
      </c>
      <c r="BT63">
        <v>0.35849999999999999</v>
      </c>
      <c r="BU63">
        <v>0.35849999999999999</v>
      </c>
      <c r="BV63">
        <v>0.39800000000000002</v>
      </c>
      <c r="BW63" s="13">
        <v>0.39800000000000002</v>
      </c>
      <c r="BX63" s="13">
        <v>0.39800000000000002</v>
      </c>
      <c r="BY63" s="13">
        <v>0.39800000000000002</v>
      </c>
      <c r="BZ63" s="13">
        <v>0.39800000000000002</v>
      </c>
      <c r="CA63" s="13">
        <v>0.39800000000000002</v>
      </c>
      <c r="CB63" s="13">
        <v>0.39800000000000002</v>
      </c>
      <c r="CC63" s="13">
        <v>0.39800000000000002</v>
      </c>
      <c r="CD63" s="13">
        <v>0.39800000000000002</v>
      </c>
      <c r="CE63" s="13">
        <v>0.39800000000000002</v>
      </c>
      <c r="CF63" s="13">
        <v>0.39800000000000002</v>
      </c>
      <c r="CG63" s="13">
        <v>0.39800000000000002</v>
      </c>
    </row>
    <row r="64" spans="1:85" x14ac:dyDescent="0.3">
      <c r="A64" t="s">
        <v>102</v>
      </c>
      <c r="B64">
        <v>0.3105</v>
      </c>
      <c r="C64">
        <v>0.3105</v>
      </c>
      <c r="D64">
        <v>0.3105</v>
      </c>
      <c r="E64">
        <v>0.3105</v>
      </c>
      <c r="F64">
        <v>0.3105</v>
      </c>
      <c r="G64">
        <v>0.3105</v>
      </c>
      <c r="H64">
        <v>0.3105</v>
      </c>
      <c r="I64">
        <v>0.3105</v>
      </c>
      <c r="J64">
        <v>0.3105</v>
      </c>
      <c r="K64">
        <v>0.3105</v>
      </c>
      <c r="L64">
        <v>0.3105</v>
      </c>
      <c r="M64">
        <v>0.3105</v>
      </c>
      <c r="N64">
        <v>0.3105</v>
      </c>
      <c r="O64">
        <v>0.3105</v>
      </c>
      <c r="P64">
        <v>0.3105</v>
      </c>
      <c r="Q64">
        <v>0.3105</v>
      </c>
      <c r="R64">
        <v>0.3105</v>
      </c>
      <c r="S64">
        <v>0.3105</v>
      </c>
      <c r="T64">
        <v>0.3105</v>
      </c>
      <c r="U64">
        <v>0.3105</v>
      </c>
      <c r="V64">
        <v>0.3105</v>
      </c>
      <c r="W64">
        <v>0.3105</v>
      </c>
      <c r="X64">
        <v>0.3105</v>
      </c>
      <c r="Y64">
        <v>0.3105</v>
      </c>
      <c r="Z64">
        <v>0.3105</v>
      </c>
      <c r="AA64">
        <v>0.3105</v>
      </c>
      <c r="AB64">
        <v>0.3105</v>
      </c>
      <c r="AC64">
        <v>0.3105</v>
      </c>
      <c r="AD64">
        <v>0.3105</v>
      </c>
      <c r="AE64">
        <v>0.3105</v>
      </c>
      <c r="AF64">
        <v>0.3105</v>
      </c>
      <c r="AG64">
        <v>0.3105</v>
      </c>
      <c r="AH64">
        <v>0.3105</v>
      </c>
      <c r="AI64">
        <v>0.3105</v>
      </c>
      <c r="AJ64">
        <v>0.3105</v>
      </c>
      <c r="AK64">
        <v>0.3105</v>
      </c>
      <c r="AL64">
        <v>0.3105</v>
      </c>
      <c r="AM64">
        <v>0.3105</v>
      </c>
      <c r="AN64">
        <v>0.3105</v>
      </c>
      <c r="AO64">
        <v>0.3105</v>
      </c>
      <c r="AP64">
        <v>0.3105</v>
      </c>
      <c r="AQ64">
        <v>0.3105</v>
      </c>
      <c r="AR64">
        <v>0.35849999999999999</v>
      </c>
      <c r="AS64">
        <v>0.35849999999999999</v>
      </c>
      <c r="AT64">
        <v>0.35849999999999999</v>
      </c>
      <c r="AU64">
        <v>0.35849999999999999</v>
      </c>
      <c r="AV64">
        <v>0.35849999999999999</v>
      </c>
      <c r="AW64">
        <v>0.35849999999999999</v>
      </c>
      <c r="AX64">
        <v>0.35849999999999999</v>
      </c>
      <c r="AY64">
        <v>0.35849999999999999</v>
      </c>
      <c r="AZ64">
        <v>0.35849999999999999</v>
      </c>
      <c r="BA64">
        <v>0.35849999999999999</v>
      </c>
      <c r="BB64">
        <v>0.35849999999999999</v>
      </c>
      <c r="BC64">
        <v>0.35849999999999999</v>
      </c>
      <c r="BD64">
        <v>0.35849999999999999</v>
      </c>
      <c r="BE64">
        <v>0.35849999999999999</v>
      </c>
      <c r="BF64">
        <v>0.35849999999999999</v>
      </c>
      <c r="BG64">
        <v>0.35849999999999999</v>
      </c>
      <c r="BH64">
        <v>0.35849999999999999</v>
      </c>
      <c r="BI64">
        <v>0.35849999999999999</v>
      </c>
      <c r="BJ64">
        <v>0.35849999999999999</v>
      </c>
      <c r="BK64">
        <v>0.35849999999999999</v>
      </c>
      <c r="BL64">
        <v>0.35849999999999999</v>
      </c>
      <c r="BM64">
        <v>0.35849999999999999</v>
      </c>
      <c r="BN64">
        <v>0.35849999999999999</v>
      </c>
      <c r="BO64">
        <v>0.35849999999999999</v>
      </c>
      <c r="BP64">
        <v>0.35849999999999999</v>
      </c>
      <c r="BQ64">
        <v>0.35849999999999999</v>
      </c>
      <c r="BR64">
        <v>0.35849999999999999</v>
      </c>
      <c r="BS64">
        <v>0.35849999999999999</v>
      </c>
      <c r="BT64">
        <v>0.35849999999999999</v>
      </c>
      <c r="BU64">
        <v>0.35849999999999999</v>
      </c>
      <c r="BV64">
        <v>0.39800000000000002</v>
      </c>
      <c r="BW64" s="13">
        <v>0.39800000000000002</v>
      </c>
      <c r="BX64" s="13">
        <v>0.39800000000000002</v>
      </c>
      <c r="BY64" s="13">
        <v>0.39800000000000002</v>
      </c>
      <c r="BZ64" s="13">
        <v>0.39800000000000002</v>
      </c>
      <c r="CA64" s="13">
        <v>0.39800000000000002</v>
      </c>
      <c r="CB64" s="13">
        <v>0.39800000000000002</v>
      </c>
      <c r="CC64" s="13">
        <v>0.39800000000000002</v>
      </c>
      <c r="CD64" s="13">
        <v>0.39800000000000002</v>
      </c>
      <c r="CE64" s="13">
        <v>0.39800000000000002</v>
      </c>
      <c r="CF64" s="13">
        <v>0.39800000000000002</v>
      </c>
      <c r="CG64" s="13">
        <v>0.39800000000000002</v>
      </c>
    </row>
    <row r="65" spans="1:85" x14ac:dyDescent="0.3">
      <c r="A65" t="s">
        <v>103</v>
      </c>
      <c r="B65">
        <v>0.3105</v>
      </c>
      <c r="C65">
        <v>0.3105</v>
      </c>
      <c r="D65">
        <v>0.3105</v>
      </c>
      <c r="E65">
        <v>0.3105</v>
      </c>
      <c r="F65">
        <v>0.3105</v>
      </c>
      <c r="G65">
        <v>0.3105</v>
      </c>
      <c r="H65">
        <v>0.3105</v>
      </c>
      <c r="I65">
        <v>0.3105</v>
      </c>
      <c r="J65">
        <v>0.3105</v>
      </c>
      <c r="K65">
        <v>0.3105</v>
      </c>
      <c r="L65">
        <v>0.3105</v>
      </c>
      <c r="M65">
        <v>0.3105</v>
      </c>
      <c r="N65">
        <v>0.3105</v>
      </c>
      <c r="O65">
        <v>0.3105</v>
      </c>
      <c r="P65">
        <v>0.3105</v>
      </c>
      <c r="Q65">
        <v>0.3105</v>
      </c>
      <c r="R65">
        <v>0.3105</v>
      </c>
      <c r="S65">
        <v>0.3105</v>
      </c>
      <c r="T65">
        <v>0.3105</v>
      </c>
      <c r="U65">
        <v>0.3105</v>
      </c>
      <c r="V65">
        <v>0.3105</v>
      </c>
      <c r="W65">
        <v>0.3105</v>
      </c>
      <c r="X65">
        <v>0.3105</v>
      </c>
      <c r="Y65">
        <v>0.3105</v>
      </c>
      <c r="Z65">
        <v>0.3105</v>
      </c>
      <c r="AA65">
        <v>0.3105</v>
      </c>
      <c r="AB65">
        <v>0.3105</v>
      </c>
      <c r="AC65">
        <v>0.3105</v>
      </c>
      <c r="AD65">
        <v>0.3105</v>
      </c>
      <c r="AE65">
        <v>0.3105</v>
      </c>
      <c r="AF65">
        <v>0.3105</v>
      </c>
      <c r="AG65">
        <v>0.3105</v>
      </c>
      <c r="AH65">
        <v>0.3105</v>
      </c>
      <c r="AI65">
        <v>0.3105</v>
      </c>
      <c r="AJ65">
        <v>0.3105</v>
      </c>
      <c r="AK65">
        <v>0.3105</v>
      </c>
      <c r="AL65">
        <v>0.3105</v>
      </c>
      <c r="AM65">
        <v>0.3105</v>
      </c>
      <c r="AN65">
        <v>0.3105</v>
      </c>
      <c r="AO65">
        <v>0.3105</v>
      </c>
      <c r="AP65">
        <v>0.3105</v>
      </c>
      <c r="AQ65">
        <v>0.3105</v>
      </c>
      <c r="AR65">
        <v>0.35849999999999999</v>
      </c>
      <c r="AS65">
        <v>0.35849999999999999</v>
      </c>
      <c r="AT65">
        <v>0.35849999999999999</v>
      </c>
      <c r="AU65">
        <v>0.35849999999999999</v>
      </c>
      <c r="AV65">
        <v>0.35849999999999999</v>
      </c>
      <c r="AW65">
        <v>0.35849999999999999</v>
      </c>
      <c r="AX65">
        <v>0.35849999999999999</v>
      </c>
      <c r="AY65">
        <v>0.35849999999999999</v>
      </c>
      <c r="AZ65">
        <v>0.35849999999999999</v>
      </c>
      <c r="BA65">
        <v>0.35849999999999999</v>
      </c>
      <c r="BB65">
        <v>0.35849999999999999</v>
      </c>
      <c r="BC65">
        <v>0.35849999999999999</v>
      </c>
      <c r="BD65">
        <v>0.35849999999999999</v>
      </c>
      <c r="BE65">
        <v>0.35849999999999999</v>
      </c>
      <c r="BF65">
        <v>0.35849999999999999</v>
      </c>
      <c r="BG65">
        <v>0.35849999999999999</v>
      </c>
      <c r="BH65">
        <v>0.35849999999999999</v>
      </c>
      <c r="BI65">
        <v>0.35849999999999999</v>
      </c>
      <c r="BJ65">
        <v>0.35849999999999999</v>
      </c>
      <c r="BK65">
        <v>0.35849999999999999</v>
      </c>
      <c r="BL65">
        <v>0.35849999999999999</v>
      </c>
      <c r="BM65">
        <v>0.35849999999999999</v>
      </c>
      <c r="BN65">
        <v>0.35849999999999999</v>
      </c>
      <c r="BO65">
        <v>0.35849999999999999</v>
      </c>
      <c r="BP65">
        <v>0.35849999999999999</v>
      </c>
      <c r="BQ65">
        <v>0.35849999999999999</v>
      </c>
      <c r="BR65">
        <v>0.35849999999999999</v>
      </c>
      <c r="BS65">
        <v>0.35849999999999999</v>
      </c>
      <c r="BT65">
        <v>0.35849999999999999</v>
      </c>
      <c r="BU65">
        <v>0.35849999999999999</v>
      </c>
      <c r="BV65">
        <v>0.39800000000000002</v>
      </c>
      <c r="BW65" s="13">
        <v>0.39800000000000002</v>
      </c>
      <c r="BX65" s="13">
        <v>0.39800000000000002</v>
      </c>
      <c r="BY65" s="13">
        <v>0.39800000000000002</v>
      </c>
      <c r="BZ65" s="13">
        <v>0.39800000000000002</v>
      </c>
      <c r="CA65" s="13">
        <v>0.39800000000000002</v>
      </c>
      <c r="CB65" s="13">
        <v>0.39800000000000002</v>
      </c>
      <c r="CC65" s="13">
        <v>0.39800000000000002</v>
      </c>
      <c r="CD65" s="13">
        <v>0.39800000000000002</v>
      </c>
      <c r="CE65" s="13">
        <v>0.39800000000000002</v>
      </c>
      <c r="CF65" s="13">
        <v>0.39800000000000002</v>
      </c>
      <c r="CG65" s="13">
        <v>0.39800000000000002</v>
      </c>
    </row>
    <row r="66" spans="1:85" x14ac:dyDescent="0.3">
      <c r="A66" t="s">
        <v>104</v>
      </c>
      <c r="B66">
        <v>0.08</v>
      </c>
      <c r="C66">
        <v>0.08</v>
      </c>
      <c r="D66">
        <v>0.08</v>
      </c>
      <c r="E66">
        <v>0.08</v>
      </c>
      <c r="F66">
        <v>0.08</v>
      </c>
      <c r="G66">
        <v>0.08</v>
      </c>
      <c r="H66">
        <v>0.08</v>
      </c>
      <c r="I66">
        <v>0.08</v>
      </c>
      <c r="J66">
        <v>0.08</v>
      </c>
      <c r="K66">
        <v>0.08</v>
      </c>
      <c r="L66">
        <v>0.08</v>
      </c>
      <c r="M66">
        <v>0.08</v>
      </c>
      <c r="N66">
        <v>0.08</v>
      </c>
      <c r="O66">
        <v>0.08</v>
      </c>
      <c r="P66">
        <v>0.08</v>
      </c>
      <c r="Q66">
        <v>0.08</v>
      </c>
      <c r="R66">
        <v>0.08</v>
      </c>
      <c r="S66">
        <v>0.08</v>
      </c>
      <c r="T66">
        <v>0.08</v>
      </c>
      <c r="U66">
        <v>0.08</v>
      </c>
      <c r="V66">
        <v>0.08</v>
      </c>
      <c r="W66">
        <v>0.08</v>
      </c>
      <c r="X66">
        <v>0.08</v>
      </c>
      <c r="Y66">
        <v>0.08</v>
      </c>
      <c r="Z66">
        <v>0.08</v>
      </c>
      <c r="AA66">
        <v>0.08</v>
      </c>
      <c r="AB66">
        <v>0.08</v>
      </c>
      <c r="AC66">
        <v>0.08</v>
      </c>
      <c r="AD66">
        <v>0.08</v>
      </c>
      <c r="AE66">
        <v>0.08</v>
      </c>
      <c r="AF66">
        <v>0.08</v>
      </c>
      <c r="AG66">
        <v>0.08</v>
      </c>
      <c r="AH66">
        <v>0.08</v>
      </c>
      <c r="AI66">
        <v>0.08</v>
      </c>
      <c r="AJ66">
        <v>0.08</v>
      </c>
      <c r="AK66">
        <v>0.08</v>
      </c>
      <c r="AL66">
        <v>0.08</v>
      </c>
      <c r="AM66">
        <v>0.08</v>
      </c>
      <c r="AN66">
        <v>0.08</v>
      </c>
      <c r="AO66">
        <v>0.08</v>
      </c>
      <c r="AP66">
        <v>0.08</v>
      </c>
      <c r="AQ66">
        <v>0.08</v>
      </c>
      <c r="AR66">
        <v>0.08</v>
      </c>
      <c r="AS66">
        <v>0.08</v>
      </c>
      <c r="AT66">
        <v>0.08</v>
      </c>
      <c r="AU66">
        <v>0.08</v>
      </c>
      <c r="AV66">
        <v>0.08</v>
      </c>
      <c r="AW66">
        <v>0.08</v>
      </c>
      <c r="AX66">
        <v>0.08</v>
      </c>
      <c r="AY66">
        <v>0.08</v>
      </c>
      <c r="AZ66">
        <v>0.08</v>
      </c>
      <c r="BA66">
        <v>0.08</v>
      </c>
      <c r="BB66">
        <v>0.08</v>
      </c>
      <c r="BC66">
        <v>0.08</v>
      </c>
      <c r="BD66">
        <v>0.08</v>
      </c>
      <c r="BE66">
        <v>0.08</v>
      </c>
      <c r="BF66">
        <v>0.08</v>
      </c>
      <c r="BG66">
        <v>0.08</v>
      </c>
      <c r="BH66">
        <v>0.08</v>
      </c>
      <c r="BI66">
        <v>0.08</v>
      </c>
      <c r="BJ66">
        <v>0.08</v>
      </c>
      <c r="BK66">
        <v>0.08</v>
      </c>
      <c r="BL66">
        <v>0.08</v>
      </c>
      <c r="BM66">
        <v>0.08</v>
      </c>
      <c r="BN66">
        <v>0.08</v>
      </c>
      <c r="BO66">
        <v>0.08</v>
      </c>
      <c r="BP66">
        <v>0.08</v>
      </c>
      <c r="BQ66">
        <v>0.08</v>
      </c>
      <c r="BR66">
        <v>0.08</v>
      </c>
      <c r="BS66">
        <v>0.08</v>
      </c>
      <c r="BT66">
        <v>0.08</v>
      </c>
      <c r="BU66">
        <v>0.08</v>
      </c>
      <c r="BV66">
        <v>0.08</v>
      </c>
      <c r="BW66" s="13">
        <v>0.08</v>
      </c>
      <c r="BX66" s="13">
        <v>0.08</v>
      </c>
      <c r="BY66" s="13">
        <v>0.08</v>
      </c>
      <c r="BZ66" s="13">
        <v>0.08</v>
      </c>
      <c r="CA66" s="13">
        <v>0.08</v>
      </c>
      <c r="CB66" s="13">
        <v>0.08</v>
      </c>
      <c r="CC66" s="13">
        <v>0.08</v>
      </c>
      <c r="CD66" s="13">
        <v>0.08</v>
      </c>
      <c r="CE66" s="13">
        <v>0.08</v>
      </c>
      <c r="CF66" s="13">
        <v>0.08</v>
      </c>
      <c r="CG66" s="13">
        <v>0.08</v>
      </c>
    </row>
    <row r="67" spans="1:85" x14ac:dyDescent="0.3">
      <c r="A67" t="s">
        <v>105</v>
      </c>
      <c r="B67">
        <v>0.08</v>
      </c>
      <c r="C67">
        <v>0.08</v>
      </c>
      <c r="D67">
        <v>0.08</v>
      </c>
      <c r="E67">
        <v>0.08</v>
      </c>
      <c r="F67">
        <v>0.08</v>
      </c>
      <c r="G67">
        <v>0.08</v>
      </c>
      <c r="H67">
        <v>0.08</v>
      </c>
      <c r="I67">
        <v>0.08</v>
      </c>
      <c r="J67">
        <v>0.08</v>
      </c>
      <c r="K67">
        <v>0.08</v>
      </c>
      <c r="L67">
        <v>0.08</v>
      </c>
      <c r="M67">
        <v>0.08</v>
      </c>
      <c r="N67">
        <v>0.08</v>
      </c>
      <c r="O67">
        <v>0.08</v>
      </c>
      <c r="P67">
        <v>0.08</v>
      </c>
      <c r="Q67">
        <v>0.08</v>
      </c>
      <c r="R67">
        <v>0.08</v>
      </c>
      <c r="S67">
        <v>0.08</v>
      </c>
      <c r="T67">
        <v>0.08</v>
      </c>
      <c r="U67">
        <v>0.08</v>
      </c>
      <c r="V67">
        <v>0.08</v>
      </c>
      <c r="W67">
        <v>0.08</v>
      </c>
      <c r="X67">
        <v>0.08</v>
      </c>
      <c r="Y67">
        <v>0.08</v>
      </c>
      <c r="Z67">
        <v>0.08</v>
      </c>
      <c r="AA67">
        <v>0.08</v>
      </c>
      <c r="AB67">
        <v>0.08</v>
      </c>
      <c r="AC67">
        <v>0.08</v>
      </c>
      <c r="AD67">
        <v>0.08</v>
      </c>
      <c r="AE67">
        <v>0.08</v>
      </c>
      <c r="AF67">
        <v>0.08</v>
      </c>
      <c r="AG67">
        <v>0.08</v>
      </c>
      <c r="AH67">
        <v>0.08</v>
      </c>
      <c r="AI67">
        <v>0.08</v>
      </c>
      <c r="AJ67">
        <v>0.08</v>
      </c>
      <c r="AK67">
        <v>0.08</v>
      </c>
      <c r="AL67">
        <v>0.08</v>
      </c>
      <c r="AM67">
        <v>0.08</v>
      </c>
      <c r="AN67">
        <v>0.08</v>
      </c>
      <c r="AO67">
        <v>0.08</v>
      </c>
      <c r="AP67">
        <v>0.08</v>
      </c>
      <c r="AQ67">
        <v>0.08</v>
      </c>
      <c r="AR67">
        <v>0.08</v>
      </c>
      <c r="AS67">
        <v>0.08</v>
      </c>
      <c r="AT67">
        <v>0.08</v>
      </c>
      <c r="AU67">
        <v>0.08</v>
      </c>
      <c r="AV67">
        <v>0.08</v>
      </c>
      <c r="AW67">
        <v>0.08</v>
      </c>
      <c r="AX67">
        <v>0.08</v>
      </c>
      <c r="AY67">
        <v>0.08</v>
      </c>
      <c r="AZ67">
        <v>0.08</v>
      </c>
      <c r="BA67">
        <v>0.08</v>
      </c>
      <c r="BB67">
        <v>0.08</v>
      </c>
      <c r="BC67">
        <v>0.08</v>
      </c>
      <c r="BD67">
        <v>0.08</v>
      </c>
      <c r="BE67">
        <v>0.08</v>
      </c>
      <c r="BF67">
        <v>0.08</v>
      </c>
      <c r="BG67">
        <v>0.08</v>
      </c>
      <c r="BH67">
        <v>0.08</v>
      </c>
      <c r="BI67">
        <v>0.08</v>
      </c>
      <c r="BJ67">
        <v>0.08</v>
      </c>
      <c r="BK67">
        <v>0.08</v>
      </c>
      <c r="BL67">
        <v>0.08</v>
      </c>
      <c r="BM67">
        <v>0.08</v>
      </c>
      <c r="BN67">
        <v>0.08</v>
      </c>
      <c r="BO67">
        <v>0.08</v>
      </c>
      <c r="BP67">
        <v>0.08</v>
      </c>
      <c r="BQ67">
        <v>0.08</v>
      </c>
      <c r="BR67">
        <v>0.08</v>
      </c>
      <c r="BS67">
        <v>0.08</v>
      </c>
      <c r="BT67">
        <v>0.08</v>
      </c>
      <c r="BU67">
        <v>0.08</v>
      </c>
      <c r="BV67">
        <v>0.08</v>
      </c>
      <c r="BW67" s="13">
        <v>0.08</v>
      </c>
      <c r="BX67" s="13">
        <v>0.08</v>
      </c>
      <c r="BY67" s="13">
        <v>0.08</v>
      </c>
      <c r="BZ67" s="13">
        <v>0.08</v>
      </c>
      <c r="CA67" s="13">
        <v>0.08</v>
      </c>
      <c r="CB67" s="13">
        <v>0.08</v>
      </c>
      <c r="CC67" s="13">
        <v>0.08</v>
      </c>
      <c r="CD67" s="13">
        <v>0.08</v>
      </c>
      <c r="CE67" s="13">
        <v>0.08</v>
      </c>
      <c r="CF67" s="13">
        <v>0.08</v>
      </c>
      <c r="CG67" s="13">
        <v>0.08</v>
      </c>
    </row>
    <row r="68" spans="1:85" x14ac:dyDescent="0.3">
      <c r="A68" t="s">
        <v>106</v>
      </c>
      <c r="B68">
        <v>0.08</v>
      </c>
      <c r="C68">
        <v>0.08</v>
      </c>
      <c r="D68">
        <v>0.08</v>
      </c>
      <c r="E68">
        <v>0.08</v>
      </c>
      <c r="F68">
        <v>0.08</v>
      </c>
      <c r="G68">
        <v>0.08</v>
      </c>
      <c r="H68">
        <v>0.08</v>
      </c>
      <c r="I68">
        <v>0.08</v>
      </c>
      <c r="J68">
        <v>0.08</v>
      </c>
      <c r="K68">
        <v>0.08</v>
      </c>
      <c r="L68">
        <v>0.08</v>
      </c>
      <c r="M68">
        <v>0.08</v>
      </c>
      <c r="N68">
        <v>0.08</v>
      </c>
      <c r="O68">
        <v>0.08</v>
      </c>
      <c r="P68">
        <v>0.08</v>
      </c>
      <c r="Q68">
        <v>0.08</v>
      </c>
      <c r="R68">
        <v>0.08</v>
      </c>
      <c r="S68">
        <v>0.08</v>
      </c>
      <c r="T68">
        <v>0.08</v>
      </c>
      <c r="U68">
        <v>0.08</v>
      </c>
      <c r="V68">
        <v>0.08</v>
      </c>
      <c r="W68">
        <v>0.08</v>
      </c>
      <c r="X68">
        <v>0.08</v>
      </c>
      <c r="Y68">
        <v>0.08</v>
      </c>
      <c r="Z68">
        <v>0.08</v>
      </c>
      <c r="AA68">
        <v>0.08</v>
      </c>
      <c r="AB68">
        <v>0.08</v>
      </c>
      <c r="AC68">
        <v>0.08</v>
      </c>
      <c r="AD68">
        <v>0.08</v>
      </c>
      <c r="AE68">
        <v>0.08</v>
      </c>
      <c r="AF68">
        <v>0.08</v>
      </c>
      <c r="AG68">
        <v>0.08</v>
      </c>
      <c r="AH68">
        <v>0.08</v>
      </c>
      <c r="AI68">
        <v>0.08</v>
      </c>
      <c r="AJ68">
        <v>0.08</v>
      </c>
      <c r="AK68">
        <v>0.08</v>
      </c>
      <c r="AL68">
        <v>0.08</v>
      </c>
      <c r="AM68">
        <v>0.08</v>
      </c>
      <c r="AN68">
        <v>0.08</v>
      </c>
      <c r="AO68">
        <v>0.08</v>
      </c>
      <c r="AP68">
        <v>0.08</v>
      </c>
      <c r="AQ68">
        <v>0.08</v>
      </c>
      <c r="AR68">
        <v>0.08</v>
      </c>
      <c r="AS68">
        <v>0.08</v>
      </c>
      <c r="AT68">
        <v>0.08</v>
      </c>
      <c r="AU68">
        <v>0.08</v>
      </c>
      <c r="AV68">
        <v>0.08</v>
      </c>
      <c r="AW68">
        <v>0.08</v>
      </c>
      <c r="AX68">
        <v>0.08</v>
      </c>
      <c r="AY68">
        <v>0.08</v>
      </c>
      <c r="AZ68">
        <v>0.08</v>
      </c>
      <c r="BA68">
        <v>0.08</v>
      </c>
      <c r="BB68">
        <v>0.08</v>
      </c>
      <c r="BC68">
        <v>0.08</v>
      </c>
      <c r="BD68">
        <v>0.08</v>
      </c>
      <c r="BE68">
        <v>0.08</v>
      </c>
      <c r="BF68">
        <v>0.08</v>
      </c>
      <c r="BG68">
        <v>0.08</v>
      </c>
      <c r="BH68">
        <v>0.08</v>
      </c>
      <c r="BI68">
        <v>0.08</v>
      </c>
      <c r="BJ68">
        <v>0.08</v>
      </c>
      <c r="BK68">
        <v>0.08</v>
      </c>
      <c r="BL68">
        <v>0.08</v>
      </c>
      <c r="BM68">
        <v>0.08</v>
      </c>
      <c r="BN68">
        <v>0.08</v>
      </c>
      <c r="BO68">
        <v>0.08</v>
      </c>
      <c r="BP68">
        <v>0.08</v>
      </c>
      <c r="BQ68">
        <v>0.08</v>
      </c>
      <c r="BR68">
        <v>0.08</v>
      </c>
      <c r="BS68">
        <v>0.08</v>
      </c>
      <c r="BT68">
        <v>0.08</v>
      </c>
      <c r="BU68">
        <v>0.08</v>
      </c>
      <c r="BV68">
        <v>0.08</v>
      </c>
      <c r="BW68" s="13">
        <v>0.08</v>
      </c>
      <c r="BX68" s="13">
        <v>0.08</v>
      </c>
      <c r="BY68" s="13">
        <v>0.08</v>
      </c>
      <c r="BZ68" s="13">
        <v>0.08</v>
      </c>
      <c r="CA68" s="13">
        <v>0.08</v>
      </c>
      <c r="CB68" s="13">
        <v>0.08</v>
      </c>
      <c r="CC68" s="13">
        <v>0.08</v>
      </c>
      <c r="CD68" s="13">
        <v>0.08</v>
      </c>
      <c r="CE68" s="13">
        <v>0.08</v>
      </c>
      <c r="CF68" s="13">
        <v>0.08</v>
      </c>
      <c r="CG68" s="13">
        <v>0.08</v>
      </c>
    </row>
    <row r="69" spans="1:85" x14ac:dyDescent="0.3">
      <c r="A69" t="s">
        <v>107</v>
      </c>
      <c r="B69">
        <v>0.08</v>
      </c>
      <c r="C69">
        <v>0.08</v>
      </c>
      <c r="D69">
        <v>0.08</v>
      </c>
      <c r="E69">
        <v>0.08</v>
      </c>
      <c r="F69">
        <v>0.08</v>
      </c>
      <c r="G69">
        <v>0.08</v>
      </c>
      <c r="H69">
        <v>0.08</v>
      </c>
      <c r="I69">
        <v>0.08</v>
      </c>
      <c r="J69">
        <v>0.08</v>
      </c>
      <c r="K69">
        <v>0.08</v>
      </c>
      <c r="L69">
        <v>0.08</v>
      </c>
      <c r="M69">
        <v>0.08</v>
      </c>
      <c r="N69">
        <v>0.08</v>
      </c>
      <c r="O69">
        <v>0.08</v>
      </c>
      <c r="P69">
        <v>0.08</v>
      </c>
      <c r="Q69">
        <v>0.08</v>
      </c>
      <c r="R69">
        <v>0.08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  <c r="Z69">
        <v>0.08</v>
      </c>
      <c r="AA69">
        <v>0.08</v>
      </c>
      <c r="AB69">
        <v>0.08</v>
      </c>
      <c r="AC69">
        <v>0.08</v>
      </c>
      <c r="AD69">
        <v>0.08</v>
      </c>
      <c r="AE69">
        <v>0.08</v>
      </c>
      <c r="AF69">
        <v>0.08</v>
      </c>
      <c r="AG69">
        <v>0.08</v>
      </c>
      <c r="AH69">
        <v>0.08</v>
      </c>
      <c r="AI69">
        <v>0.08</v>
      </c>
      <c r="AJ69">
        <v>0.08</v>
      </c>
      <c r="AK69">
        <v>0.08</v>
      </c>
      <c r="AL69">
        <v>0.08</v>
      </c>
      <c r="AM69">
        <v>0.08</v>
      </c>
      <c r="AN69">
        <v>0.08</v>
      </c>
      <c r="AO69">
        <v>0.08</v>
      </c>
      <c r="AP69">
        <v>0.08</v>
      </c>
      <c r="AQ69">
        <v>0.08</v>
      </c>
      <c r="AR69">
        <v>0.08</v>
      </c>
      <c r="AS69">
        <v>0.08</v>
      </c>
      <c r="AT69">
        <v>0.08</v>
      </c>
      <c r="AU69">
        <v>0.08</v>
      </c>
      <c r="AV69">
        <v>0.08</v>
      </c>
      <c r="AW69">
        <v>0.08</v>
      </c>
      <c r="AX69">
        <v>0.08</v>
      </c>
      <c r="AY69">
        <v>0.08</v>
      </c>
      <c r="AZ69">
        <v>0.08</v>
      </c>
      <c r="BA69">
        <v>0.08</v>
      </c>
      <c r="BB69">
        <v>0.08</v>
      </c>
      <c r="BC69">
        <v>0.08</v>
      </c>
      <c r="BD69">
        <v>0.08</v>
      </c>
      <c r="BE69">
        <v>0.08</v>
      </c>
      <c r="BF69">
        <v>0.08</v>
      </c>
      <c r="BG69">
        <v>0.08</v>
      </c>
      <c r="BH69">
        <v>0.08</v>
      </c>
      <c r="BI69">
        <v>0.08</v>
      </c>
      <c r="BJ69">
        <v>0.08</v>
      </c>
      <c r="BK69">
        <v>0.08</v>
      </c>
      <c r="BL69">
        <v>0.08</v>
      </c>
      <c r="BM69">
        <v>0.08</v>
      </c>
      <c r="BN69">
        <v>0.08</v>
      </c>
      <c r="BO69">
        <v>0.08</v>
      </c>
      <c r="BP69">
        <v>0.08</v>
      </c>
      <c r="BQ69">
        <v>0.08</v>
      </c>
      <c r="BR69">
        <v>0.08</v>
      </c>
      <c r="BS69">
        <v>0.08</v>
      </c>
      <c r="BT69">
        <v>0.08</v>
      </c>
      <c r="BU69">
        <v>0.08</v>
      </c>
      <c r="BV69">
        <v>0.08</v>
      </c>
      <c r="BW69" s="13">
        <v>0.08</v>
      </c>
      <c r="BX69" s="13">
        <v>0.08</v>
      </c>
      <c r="BY69" s="13">
        <v>0.08</v>
      </c>
      <c r="BZ69" s="13">
        <v>0.08</v>
      </c>
      <c r="CA69" s="13">
        <v>0.08</v>
      </c>
      <c r="CB69" s="13">
        <v>0.08</v>
      </c>
      <c r="CC69" s="13">
        <v>0.08</v>
      </c>
      <c r="CD69" s="13">
        <v>0.08</v>
      </c>
      <c r="CE69" s="13">
        <v>0.08</v>
      </c>
      <c r="CF69" s="13">
        <v>0.08</v>
      </c>
      <c r="CG69" s="13">
        <v>0.08</v>
      </c>
    </row>
    <row r="70" spans="1:85" x14ac:dyDescent="0.3">
      <c r="A70" t="s">
        <v>108</v>
      </c>
      <c r="B70">
        <v>0.08</v>
      </c>
      <c r="C70">
        <v>0.08</v>
      </c>
      <c r="D70">
        <v>0.08</v>
      </c>
      <c r="E70">
        <v>0.08</v>
      </c>
      <c r="F70">
        <v>0.08</v>
      </c>
      <c r="G70">
        <v>0.08</v>
      </c>
      <c r="H70">
        <v>0.08</v>
      </c>
      <c r="I70">
        <v>0.08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  <c r="AL70">
        <v>0.08</v>
      </c>
      <c r="AM70">
        <v>0.08</v>
      </c>
      <c r="AN70">
        <v>0.08</v>
      </c>
      <c r="AO70">
        <v>0.08</v>
      </c>
      <c r="AP70">
        <v>0.08</v>
      </c>
      <c r="AQ70">
        <v>0.08</v>
      </c>
      <c r="AR70">
        <v>0.08</v>
      </c>
      <c r="AS70">
        <v>0.08</v>
      </c>
      <c r="AT70">
        <v>0.08</v>
      </c>
      <c r="AU70">
        <v>0.08</v>
      </c>
      <c r="AV70">
        <v>0.08</v>
      </c>
      <c r="AW70">
        <v>0.08</v>
      </c>
      <c r="AX70">
        <v>0.08</v>
      </c>
      <c r="AY70">
        <v>0.08</v>
      </c>
      <c r="AZ70">
        <v>0.08</v>
      </c>
      <c r="BA70">
        <v>0.08</v>
      </c>
      <c r="BB70">
        <v>0.08</v>
      </c>
      <c r="BC70">
        <v>0.08</v>
      </c>
      <c r="BD70">
        <v>0.08</v>
      </c>
      <c r="BE70">
        <v>0.08</v>
      </c>
      <c r="BF70">
        <v>0.08</v>
      </c>
      <c r="BG70">
        <v>0.08</v>
      </c>
      <c r="BH70">
        <v>0.08</v>
      </c>
      <c r="BI70">
        <v>0.08</v>
      </c>
      <c r="BJ70">
        <v>0.08</v>
      </c>
      <c r="BK70">
        <v>0.08</v>
      </c>
      <c r="BL70">
        <v>0.08</v>
      </c>
      <c r="BM70">
        <v>0.08</v>
      </c>
      <c r="BN70">
        <v>0.08</v>
      </c>
      <c r="BO70">
        <v>0.08</v>
      </c>
      <c r="BP70">
        <v>0.08</v>
      </c>
      <c r="BQ70">
        <v>0.08</v>
      </c>
      <c r="BR70">
        <v>0.08</v>
      </c>
      <c r="BS70">
        <v>0.08</v>
      </c>
      <c r="BT70">
        <v>0.08</v>
      </c>
      <c r="BU70">
        <v>0.08</v>
      </c>
      <c r="BV70">
        <v>0.08</v>
      </c>
      <c r="BW70" s="13">
        <v>0.08</v>
      </c>
      <c r="BX70" s="13">
        <v>0.08</v>
      </c>
      <c r="BY70" s="13">
        <v>0.08</v>
      </c>
      <c r="BZ70" s="13">
        <v>0.08</v>
      </c>
      <c r="CA70" s="13">
        <v>0.08</v>
      </c>
      <c r="CB70" s="13">
        <v>0.08</v>
      </c>
      <c r="CC70" s="13">
        <v>0.08</v>
      </c>
      <c r="CD70" s="13">
        <v>0.08</v>
      </c>
      <c r="CE70" s="13">
        <v>0.08</v>
      </c>
      <c r="CF70" s="13">
        <v>0.08</v>
      </c>
      <c r="CG70" s="13">
        <v>0.08</v>
      </c>
    </row>
    <row r="71" spans="1:85" x14ac:dyDescent="0.3">
      <c r="A71" t="s">
        <v>109</v>
      </c>
      <c r="B71">
        <v>0.08</v>
      </c>
      <c r="C71">
        <v>0.08</v>
      </c>
      <c r="D71">
        <v>0.08</v>
      </c>
      <c r="E71">
        <v>0.08</v>
      </c>
      <c r="F71">
        <v>0.08</v>
      </c>
      <c r="G71">
        <v>0.08</v>
      </c>
      <c r="H71">
        <v>0.08</v>
      </c>
      <c r="I71">
        <v>0.08</v>
      </c>
      <c r="J71">
        <v>0.08</v>
      </c>
      <c r="K71">
        <v>0.08</v>
      </c>
      <c r="L71">
        <v>0.08</v>
      </c>
      <c r="M71">
        <v>0.08</v>
      </c>
      <c r="N71">
        <v>0.08</v>
      </c>
      <c r="O71">
        <v>0.08</v>
      </c>
      <c r="P71">
        <v>0.08</v>
      </c>
      <c r="Q71">
        <v>0.08</v>
      </c>
      <c r="R71">
        <v>0.08</v>
      </c>
      <c r="S71">
        <v>0.08</v>
      </c>
      <c r="T71">
        <v>0.08</v>
      </c>
      <c r="U71">
        <v>0.08</v>
      </c>
      <c r="V71">
        <v>0.08</v>
      </c>
      <c r="W71">
        <v>0.08</v>
      </c>
      <c r="X71">
        <v>0.08</v>
      </c>
      <c r="Y71">
        <v>0.08</v>
      </c>
      <c r="Z71">
        <v>0.08</v>
      </c>
      <c r="AA71">
        <v>0.08</v>
      </c>
      <c r="AB71">
        <v>0.08</v>
      </c>
      <c r="AC71">
        <v>0.08</v>
      </c>
      <c r="AD71">
        <v>0.08</v>
      </c>
      <c r="AE71">
        <v>0.08</v>
      </c>
      <c r="AF71">
        <v>0.08</v>
      </c>
      <c r="AG71">
        <v>0.08</v>
      </c>
      <c r="AH71">
        <v>0.08</v>
      </c>
      <c r="AI71">
        <v>0.08</v>
      </c>
      <c r="AJ71">
        <v>0.08</v>
      </c>
      <c r="AK71">
        <v>0.08</v>
      </c>
      <c r="AL71">
        <v>0.08</v>
      </c>
      <c r="AM71">
        <v>0.08</v>
      </c>
      <c r="AN71">
        <v>0.08</v>
      </c>
      <c r="AO71">
        <v>0.08</v>
      </c>
      <c r="AP71">
        <v>0.08</v>
      </c>
      <c r="AQ71">
        <v>0.08</v>
      </c>
      <c r="AR71">
        <v>0.08</v>
      </c>
      <c r="AS71">
        <v>0.08</v>
      </c>
      <c r="AT71">
        <v>0.08</v>
      </c>
      <c r="AU71">
        <v>0.08</v>
      </c>
      <c r="AV71">
        <v>0.08</v>
      </c>
      <c r="AW71">
        <v>0.08</v>
      </c>
      <c r="AX71">
        <v>0.08</v>
      </c>
      <c r="AY71">
        <v>0.08</v>
      </c>
      <c r="AZ71">
        <v>0.08</v>
      </c>
      <c r="BA71">
        <v>0.08</v>
      </c>
      <c r="BB71">
        <v>0.08</v>
      </c>
      <c r="BC71">
        <v>0.08</v>
      </c>
      <c r="BD71">
        <v>0.08</v>
      </c>
      <c r="BE71">
        <v>0.08</v>
      </c>
      <c r="BF71">
        <v>0.08</v>
      </c>
      <c r="BG71">
        <v>0.08</v>
      </c>
      <c r="BH71">
        <v>0.08</v>
      </c>
      <c r="BI71">
        <v>0.08</v>
      </c>
      <c r="BJ71">
        <v>0.08</v>
      </c>
      <c r="BK71">
        <v>0.08</v>
      </c>
      <c r="BL71">
        <v>0.08</v>
      </c>
      <c r="BM71">
        <v>0.08</v>
      </c>
      <c r="BN71">
        <v>0.08</v>
      </c>
      <c r="BO71">
        <v>0.08</v>
      </c>
      <c r="BP71">
        <v>0.08</v>
      </c>
      <c r="BQ71">
        <v>0.08</v>
      </c>
      <c r="BR71">
        <v>0.08</v>
      </c>
      <c r="BS71">
        <v>0.08</v>
      </c>
      <c r="BT71">
        <v>0.08</v>
      </c>
      <c r="BU71">
        <v>0.08</v>
      </c>
      <c r="BV71">
        <v>0.08</v>
      </c>
      <c r="BW71" s="13">
        <v>0.08</v>
      </c>
      <c r="BX71" s="13">
        <v>0.08</v>
      </c>
      <c r="BY71" s="13">
        <v>0.08</v>
      </c>
      <c r="BZ71" s="13">
        <v>0.08</v>
      </c>
      <c r="CA71" s="13">
        <v>0.08</v>
      </c>
      <c r="CB71" s="13">
        <v>0.08</v>
      </c>
      <c r="CC71" s="13">
        <v>0.08</v>
      </c>
      <c r="CD71" s="13">
        <v>0.08</v>
      </c>
      <c r="CE71" s="13">
        <v>0.08</v>
      </c>
      <c r="CF71" s="13">
        <v>0.08</v>
      </c>
      <c r="CG71" s="13">
        <v>0.08</v>
      </c>
    </row>
    <row r="72" spans="1:85" x14ac:dyDescent="0.3">
      <c r="A72" t="s">
        <v>110</v>
      </c>
      <c r="B72">
        <v>0.08</v>
      </c>
      <c r="C72">
        <v>0.08</v>
      </c>
      <c r="D72">
        <v>0.08</v>
      </c>
      <c r="E72">
        <v>0.08</v>
      </c>
      <c r="F72">
        <v>0.08</v>
      </c>
      <c r="G72">
        <v>0.08</v>
      </c>
      <c r="H72">
        <v>0.08</v>
      </c>
      <c r="I72">
        <v>0.08</v>
      </c>
      <c r="J72">
        <v>0.08</v>
      </c>
      <c r="K72">
        <v>0.08</v>
      </c>
      <c r="L72">
        <v>0.08</v>
      </c>
      <c r="M72">
        <v>0.08</v>
      </c>
      <c r="N72">
        <v>0.08</v>
      </c>
      <c r="O72">
        <v>0.08</v>
      </c>
      <c r="P72">
        <v>0.08</v>
      </c>
      <c r="Q72">
        <v>0.08</v>
      </c>
      <c r="R72">
        <v>0.08</v>
      </c>
      <c r="S72">
        <v>0.08</v>
      </c>
      <c r="T72">
        <v>0.08</v>
      </c>
      <c r="U72">
        <v>0.08</v>
      </c>
      <c r="V72">
        <v>0.08</v>
      </c>
      <c r="W72">
        <v>0.08</v>
      </c>
      <c r="X72">
        <v>0.08</v>
      </c>
      <c r="Y72">
        <v>0.08</v>
      </c>
      <c r="Z72">
        <v>0.08</v>
      </c>
      <c r="AA72">
        <v>0.08</v>
      </c>
      <c r="AB72">
        <v>0.08</v>
      </c>
      <c r="AC72">
        <v>0.08</v>
      </c>
      <c r="AD72">
        <v>0.08</v>
      </c>
      <c r="AE72">
        <v>0.08</v>
      </c>
      <c r="AF72">
        <v>0.08</v>
      </c>
      <c r="AG72">
        <v>0.08</v>
      </c>
      <c r="AH72">
        <v>0.08</v>
      </c>
      <c r="AI72">
        <v>0.08</v>
      </c>
      <c r="AJ72">
        <v>0.08</v>
      </c>
      <c r="AK72">
        <v>0.08</v>
      </c>
      <c r="AL72">
        <v>0.08</v>
      </c>
      <c r="AM72">
        <v>0.08</v>
      </c>
      <c r="AN72">
        <v>0.08</v>
      </c>
      <c r="AO72">
        <v>0.08</v>
      </c>
      <c r="AP72">
        <v>0.08</v>
      </c>
      <c r="AQ72">
        <v>0.08</v>
      </c>
      <c r="AR72">
        <v>0.08</v>
      </c>
      <c r="AS72">
        <v>0.08</v>
      </c>
      <c r="AT72">
        <v>0.08</v>
      </c>
      <c r="AU72">
        <v>0.08</v>
      </c>
      <c r="AV72">
        <v>0.08</v>
      </c>
      <c r="AW72">
        <v>0.08</v>
      </c>
      <c r="AX72">
        <v>0.08</v>
      </c>
      <c r="AY72">
        <v>0.08</v>
      </c>
      <c r="AZ72">
        <v>0.08</v>
      </c>
      <c r="BA72">
        <v>0.08</v>
      </c>
      <c r="BB72">
        <v>0.08</v>
      </c>
      <c r="BC72">
        <v>0.08</v>
      </c>
      <c r="BD72">
        <v>0.08</v>
      </c>
      <c r="BE72">
        <v>0.08</v>
      </c>
      <c r="BF72">
        <v>0.08</v>
      </c>
      <c r="BG72">
        <v>0.08</v>
      </c>
      <c r="BH72">
        <v>0.08</v>
      </c>
      <c r="BI72">
        <v>0.08</v>
      </c>
      <c r="BJ72">
        <v>0.08</v>
      </c>
      <c r="BK72">
        <v>0.08</v>
      </c>
      <c r="BL72">
        <v>0.08</v>
      </c>
      <c r="BM72">
        <v>0.08</v>
      </c>
      <c r="BN72">
        <v>0.08</v>
      </c>
      <c r="BO72">
        <v>0.08</v>
      </c>
      <c r="BP72">
        <v>0.08</v>
      </c>
      <c r="BQ72">
        <v>0.08</v>
      </c>
      <c r="BR72">
        <v>0.08</v>
      </c>
      <c r="BS72">
        <v>0.08</v>
      </c>
      <c r="BT72">
        <v>0.08</v>
      </c>
      <c r="BU72">
        <v>0.08</v>
      </c>
      <c r="BV72">
        <v>0.08</v>
      </c>
      <c r="BW72" s="13">
        <v>0.08</v>
      </c>
      <c r="BX72" s="13">
        <v>0.08</v>
      </c>
      <c r="BY72" s="13">
        <v>0.08</v>
      </c>
      <c r="BZ72" s="13">
        <v>0.08</v>
      </c>
      <c r="CA72" s="13">
        <v>0.08</v>
      </c>
      <c r="CB72" s="13">
        <v>0.08</v>
      </c>
      <c r="CC72" s="13">
        <v>0.08</v>
      </c>
      <c r="CD72" s="13">
        <v>0.08</v>
      </c>
      <c r="CE72" s="13">
        <v>0.08</v>
      </c>
      <c r="CF72" s="13">
        <v>0.08</v>
      </c>
      <c r="CG72" s="13">
        <v>0.08</v>
      </c>
    </row>
    <row r="73" spans="1:85" x14ac:dyDescent="0.3">
      <c r="A73" t="s">
        <v>111</v>
      </c>
      <c r="B73">
        <v>0.08</v>
      </c>
      <c r="C73">
        <v>0.08</v>
      </c>
      <c r="D73">
        <v>0.08</v>
      </c>
      <c r="E73">
        <v>0.08</v>
      </c>
      <c r="F73">
        <v>0.08</v>
      </c>
      <c r="G73">
        <v>0.08</v>
      </c>
      <c r="H73">
        <v>0.08</v>
      </c>
      <c r="I73">
        <v>0.08</v>
      </c>
      <c r="J73">
        <v>0.08</v>
      </c>
      <c r="K73">
        <v>0.08</v>
      </c>
      <c r="L73">
        <v>0.08</v>
      </c>
      <c r="M73">
        <v>0.08</v>
      </c>
      <c r="N73">
        <v>0.08</v>
      </c>
      <c r="O73">
        <v>0.08</v>
      </c>
      <c r="P73">
        <v>0.08</v>
      </c>
      <c r="Q73">
        <v>0.08</v>
      </c>
      <c r="R73">
        <v>0.08</v>
      </c>
      <c r="S73">
        <v>0.08</v>
      </c>
      <c r="T73">
        <v>0.08</v>
      </c>
      <c r="U73">
        <v>0.08</v>
      </c>
      <c r="V73">
        <v>0.08</v>
      </c>
      <c r="W73">
        <v>0.08</v>
      </c>
      <c r="X73">
        <v>0.08</v>
      </c>
      <c r="Y73">
        <v>0.08</v>
      </c>
      <c r="Z73">
        <v>0.08</v>
      </c>
      <c r="AA73">
        <v>0.08</v>
      </c>
      <c r="AB73">
        <v>0.08</v>
      </c>
      <c r="AC73">
        <v>0.08</v>
      </c>
      <c r="AD73">
        <v>0.08</v>
      </c>
      <c r="AE73">
        <v>0.08</v>
      </c>
      <c r="AF73">
        <v>0.08</v>
      </c>
      <c r="AG73">
        <v>0.08</v>
      </c>
      <c r="AH73">
        <v>0.08</v>
      </c>
      <c r="AI73">
        <v>0.08</v>
      </c>
      <c r="AJ73">
        <v>0.08</v>
      </c>
      <c r="AK73">
        <v>0.08</v>
      </c>
      <c r="AL73">
        <v>0.08</v>
      </c>
      <c r="AM73">
        <v>0.08</v>
      </c>
      <c r="AN73">
        <v>0.08</v>
      </c>
      <c r="AO73">
        <v>0.08</v>
      </c>
      <c r="AP73">
        <v>0.08</v>
      </c>
      <c r="AQ73">
        <v>0.08</v>
      </c>
      <c r="AR73">
        <v>0.08</v>
      </c>
      <c r="AS73">
        <v>0.08</v>
      </c>
      <c r="AT73">
        <v>0.08</v>
      </c>
      <c r="AU73">
        <v>0.08</v>
      </c>
      <c r="AV73">
        <v>0.08</v>
      </c>
      <c r="AW73">
        <v>0.08</v>
      </c>
      <c r="AX73">
        <v>0.08</v>
      </c>
      <c r="AY73">
        <v>0.08</v>
      </c>
      <c r="AZ73">
        <v>0.08</v>
      </c>
      <c r="BA73">
        <v>0.08</v>
      </c>
      <c r="BB73">
        <v>0.08</v>
      </c>
      <c r="BC73">
        <v>0.08</v>
      </c>
      <c r="BD73">
        <v>0.08</v>
      </c>
      <c r="BE73">
        <v>0.08</v>
      </c>
      <c r="BF73">
        <v>0.08</v>
      </c>
      <c r="BG73">
        <v>0.08</v>
      </c>
      <c r="BH73">
        <v>0.08</v>
      </c>
      <c r="BI73">
        <v>0.08</v>
      </c>
      <c r="BJ73">
        <v>0.08</v>
      </c>
      <c r="BK73">
        <v>0.08</v>
      </c>
      <c r="BL73">
        <v>0.08</v>
      </c>
      <c r="BM73">
        <v>0.08</v>
      </c>
      <c r="BN73">
        <v>0.08</v>
      </c>
      <c r="BO73">
        <v>0.08</v>
      </c>
      <c r="BP73">
        <v>0.08</v>
      </c>
      <c r="BQ73">
        <v>0.08</v>
      </c>
      <c r="BR73">
        <v>0.08</v>
      </c>
      <c r="BS73">
        <v>0.08</v>
      </c>
      <c r="BT73">
        <v>0.08</v>
      </c>
      <c r="BU73">
        <v>0.08</v>
      </c>
      <c r="BV73">
        <v>0.08</v>
      </c>
      <c r="BW73" s="13">
        <v>0.08</v>
      </c>
      <c r="BX73" s="13">
        <v>0.08</v>
      </c>
      <c r="BY73" s="13">
        <v>0.08</v>
      </c>
      <c r="BZ73" s="13">
        <v>0.08</v>
      </c>
      <c r="CA73" s="13">
        <v>0.08</v>
      </c>
      <c r="CB73" s="13">
        <v>0.08</v>
      </c>
      <c r="CC73" s="13">
        <v>0.08</v>
      </c>
      <c r="CD73" s="13">
        <v>0.08</v>
      </c>
      <c r="CE73" s="13">
        <v>0.08</v>
      </c>
      <c r="CF73" s="13">
        <v>0.08</v>
      </c>
      <c r="CG73" s="13">
        <v>0.08</v>
      </c>
    </row>
    <row r="74" spans="1:85" x14ac:dyDescent="0.3">
      <c r="A74" t="s">
        <v>112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</row>
    <row r="75" spans="1:85" x14ac:dyDescent="0.3">
      <c r="A75" t="s">
        <v>113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</row>
    <row r="76" spans="1:85" x14ac:dyDescent="0.3">
      <c r="A76" t="s">
        <v>114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 s="13">
        <v>0</v>
      </c>
      <c r="BX76" s="13">
        <v>0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  <c r="CE76" s="13">
        <v>0</v>
      </c>
      <c r="CF76" s="13">
        <v>0</v>
      </c>
      <c r="CG76" s="13">
        <v>0</v>
      </c>
    </row>
    <row r="77" spans="1:85" x14ac:dyDescent="0.3">
      <c r="A77" t="s">
        <v>115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 s="13">
        <v>0</v>
      </c>
      <c r="BX77" s="13">
        <v>0</v>
      </c>
      <c r="BY77" s="13">
        <v>0</v>
      </c>
      <c r="BZ77" s="13">
        <v>0</v>
      </c>
      <c r="CA77" s="13">
        <v>0</v>
      </c>
      <c r="CB77" s="13">
        <v>0</v>
      </c>
      <c r="CC77" s="13">
        <v>0</v>
      </c>
      <c r="CD77" s="13">
        <v>0</v>
      </c>
      <c r="CE77" s="13">
        <v>0</v>
      </c>
      <c r="CF77" s="13">
        <v>0</v>
      </c>
      <c r="CG77" s="13">
        <v>0</v>
      </c>
    </row>
    <row r="78" spans="1:85" x14ac:dyDescent="0.3">
      <c r="A78" t="s">
        <v>116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 s="13">
        <v>0</v>
      </c>
      <c r="BX78" s="13">
        <v>0</v>
      </c>
      <c r="BY78" s="13">
        <v>0</v>
      </c>
      <c r="BZ78" s="13">
        <v>0</v>
      </c>
      <c r="CA78" s="13">
        <v>0</v>
      </c>
      <c r="CB78" s="13">
        <v>0</v>
      </c>
      <c r="CC78" s="13">
        <v>0</v>
      </c>
      <c r="CD78" s="13">
        <v>0</v>
      </c>
      <c r="CE78" s="13">
        <v>0</v>
      </c>
      <c r="CF78" s="13">
        <v>0</v>
      </c>
      <c r="CG78" s="13">
        <v>0</v>
      </c>
    </row>
    <row r="79" spans="1:85" x14ac:dyDescent="0.3">
      <c r="A79" t="s">
        <v>117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>
        <v>0</v>
      </c>
      <c r="CD79" s="13">
        <v>0</v>
      </c>
      <c r="CE79" s="13">
        <v>0</v>
      </c>
      <c r="CF79" s="13">
        <v>0</v>
      </c>
      <c r="CG79" s="13">
        <v>0</v>
      </c>
    </row>
    <row r="80" spans="1:85" x14ac:dyDescent="0.3">
      <c r="A80" t="s">
        <v>118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 s="13">
        <v>0</v>
      </c>
      <c r="BX80" s="13">
        <v>0</v>
      </c>
      <c r="BY80" s="13">
        <v>0</v>
      </c>
      <c r="BZ80" s="13">
        <v>0</v>
      </c>
      <c r="CA80" s="13">
        <v>0</v>
      </c>
      <c r="CB80" s="13">
        <v>0</v>
      </c>
      <c r="CC80" s="13">
        <v>0</v>
      </c>
      <c r="CD80" s="13">
        <v>0</v>
      </c>
      <c r="CE80" s="13">
        <v>0</v>
      </c>
      <c r="CF80" s="13">
        <v>0</v>
      </c>
      <c r="CG80" s="13">
        <v>0</v>
      </c>
    </row>
    <row r="81" spans="1:85" x14ac:dyDescent="0.3">
      <c r="A81" t="s">
        <v>119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 s="13">
        <v>0</v>
      </c>
      <c r="BX81" s="13">
        <v>0</v>
      </c>
      <c r="BY81" s="13">
        <v>0</v>
      </c>
      <c r="BZ81" s="13">
        <v>0</v>
      </c>
      <c r="CA81" s="13">
        <v>0</v>
      </c>
      <c r="CB81" s="13">
        <v>0</v>
      </c>
      <c r="CC81" s="13">
        <v>0</v>
      </c>
      <c r="CD81" s="13">
        <v>0</v>
      </c>
      <c r="CE81" s="13">
        <v>0</v>
      </c>
      <c r="CF81" s="13">
        <v>0</v>
      </c>
      <c r="CG81" s="13">
        <v>0</v>
      </c>
    </row>
    <row r="82" spans="1:85" x14ac:dyDescent="0.3">
      <c r="A82" t="s">
        <v>120</v>
      </c>
      <c r="B82">
        <v>0.81</v>
      </c>
      <c r="C82">
        <v>0.81</v>
      </c>
      <c r="D82">
        <v>0.81</v>
      </c>
      <c r="E82">
        <v>0.81</v>
      </c>
      <c r="F82">
        <v>0.81</v>
      </c>
      <c r="G82">
        <v>0.81</v>
      </c>
      <c r="H82">
        <v>0.81</v>
      </c>
      <c r="I82">
        <v>0.81</v>
      </c>
      <c r="J82">
        <v>0.81</v>
      </c>
      <c r="K82">
        <v>0.81</v>
      </c>
      <c r="L82">
        <v>0.81</v>
      </c>
      <c r="M82">
        <v>0.81</v>
      </c>
      <c r="N82">
        <v>0.81</v>
      </c>
      <c r="O82">
        <v>0.81</v>
      </c>
      <c r="P82">
        <v>0.81</v>
      </c>
      <c r="Q82">
        <v>0.81</v>
      </c>
      <c r="R82">
        <v>0.81</v>
      </c>
      <c r="S82">
        <v>0.81</v>
      </c>
      <c r="T82">
        <v>0.81</v>
      </c>
      <c r="U82">
        <v>0.81</v>
      </c>
      <c r="V82">
        <v>0.81</v>
      </c>
      <c r="W82">
        <v>0.81</v>
      </c>
      <c r="X82">
        <v>0.81</v>
      </c>
      <c r="Y82">
        <v>0.81</v>
      </c>
      <c r="Z82">
        <v>0.81</v>
      </c>
      <c r="AA82">
        <v>0.81</v>
      </c>
      <c r="AB82">
        <v>0.81</v>
      </c>
      <c r="AC82">
        <v>0.81</v>
      </c>
      <c r="AD82">
        <v>0.81</v>
      </c>
      <c r="AE82">
        <v>0.81</v>
      </c>
      <c r="AF82">
        <v>1.45</v>
      </c>
      <c r="AG82">
        <v>1.45</v>
      </c>
      <c r="AH82">
        <v>1.45</v>
      </c>
      <c r="AI82">
        <v>1.45</v>
      </c>
      <c r="AJ82">
        <v>1.45</v>
      </c>
      <c r="AK82">
        <v>1.45</v>
      </c>
      <c r="AL82">
        <v>1.45</v>
      </c>
      <c r="AM82">
        <v>1.45</v>
      </c>
      <c r="AN82">
        <v>1.45</v>
      </c>
      <c r="AO82">
        <v>1.45</v>
      </c>
      <c r="AP82">
        <v>1.45</v>
      </c>
      <c r="AQ82">
        <v>1.45</v>
      </c>
      <c r="AR82">
        <v>1.45</v>
      </c>
      <c r="AS82">
        <v>1.45</v>
      </c>
      <c r="AT82">
        <v>1.45</v>
      </c>
      <c r="AU82">
        <v>1.45</v>
      </c>
      <c r="AV82">
        <v>1.45</v>
      </c>
      <c r="AW82">
        <v>1.45</v>
      </c>
      <c r="AX82">
        <v>1.45</v>
      </c>
      <c r="AY82">
        <v>1.45</v>
      </c>
      <c r="AZ82">
        <v>1.45</v>
      </c>
      <c r="BA82">
        <v>1.45</v>
      </c>
      <c r="BB82">
        <v>1.45</v>
      </c>
      <c r="BC82">
        <v>1.45</v>
      </c>
      <c r="BD82">
        <v>1.45</v>
      </c>
      <c r="BE82">
        <v>1.45</v>
      </c>
      <c r="BF82">
        <v>1.45</v>
      </c>
      <c r="BG82">
        <v>1.45</v>
      </c>
      <c r="BH82">
        <v>1.45</v>
      </c>
      <c r="BI82">
        <v>1.45</v>
      </c>
      <c r="BJ82">
        <v>1.45</v>
      </c>
      <c r="BK82">
        <v>1.45</v>
      </c>
      <c r="BL82">
        <v>1.45</v>
      </c>
      <c r="BM82">
        <v>1.45</v>
      </c>
      <c r="BN82">
        <v>1.45</v>
      </c>
      <c r="BO82">
        <v>1.45</v>
      </c>
      <c r="BP82">
        <v>1.45</v>
      </c>
      <c r="BQ82">
        <v>1.45</v>
      </c>
      <c r="BR82">
        <v>1.45</v>
      </c>
      <c r="BS82">
        <v>1.45</v>
      </c>
      <c r="BT82">
        <v>1.45</v>
      </c>
      <c r="BU82">
        <v>1.45</v>
      </c>
      <c r="BV82">
        <v>1.45</v>
      </c>
      <c r="BW82" s="13">
        <v>1.45</v>
      </c>
      <c r="BX82" s="13">
        <v>1.45</v>
      </c>
      <c r="BY82" s="13">
        <v>1.45</v>
      </c>
      <c r="BZ82" s="13">
        <v>1.45</v>
      </c>
      <c r="CA82" s="13">
        <v>1.45</v>
      </c>
      <c r="CB82" s="13">
        <v>1.45</v>
      </c>
      <c r="CC82" s="13">
        <v>1.45</v>
      </c>
      <c r="CD82" s="13">
        <v>1.45</v>
      </c>
      <c r="CE82" s="13">
        <v>1.45</v>
      </c>
      <c r="CF82" s="13">
        <v>1.45</v>
      </c>
      <c r="CG82" s="13">
        <v>1.45</v>
      </c>
    </row>
    <row r="83" spans="1:85" x14ac:dyDescent="0.3">
      <c r="A83" t="s">
        <v>121</v>
      </c>
      <c r="B83">
        <v>0.81</v>
      </c>
      <c r="C83">
        <v>0.81</v>
      </c>
      <c r="D83">
        <v>0.81</v>
      </c>
      <c r="E83">
        <v>0.81</v>
      </c>
      <c r="F83">
        <v>0.81</v>
      </c>
      <c r="G83">
        <v>0.81</v>
      </c>
      <c r="H83">
        <v>0.81</v>
      </c>
      <c r="I83">
        <v>0.81</v>
      </c>
      <c r="J83">
        <v>0.81</v>
      </c>
      <c r="K83">
        <v>0.81</v>
      </c>
      <c r="L83">
        <v>0.81</v>
      </c>
      <c r="M83">
        <v>0.81</v>
      </c>
      <c r="N83">
        <v>0.81</v>
      </c>
      <c r="O83">
        <v>0.81</v>
      </c>
      <c r="P83">
        <v>0.81</v>
      </c>
      <c r="Q83">
        <v>0.81</v>
      </c>
      <c r="R83">
        <v>0.81</v>
      </c>
      <c r="S83">
        <v>0.81</v>
      </c>
      <c r="T83">
        <v>0.81</v>
      </c>
      <c r="U83">
        <v>0.81</v>
      </c>
      <c r="V83">
        <v>0.81</v>
      </c>
      <c r="W83">
        <v>0.81</v>
      </c>
      <c r="X83">
        <v>0.81</v>
      </c>
      <c r="Y83">
        <v>0.81</v>
      </c>
      <c r="Z83">
        <v>0.81</v>
      </c>
      <c r="AA83">
        <v>0.81</v>
      </c>
      <c r="AB83">
        <v>0.81</v>
      </c>
      <c r="AC83">
        <v>0.81</v>
      </c>
      <c r="AD83">
        <v>0.81</v>
      </c>
      <c r="AE83">
        <v>0.81</v>
      </c>
      <c r="AF83">
        <v>1.45</v>
      </c>
      <c r="AG83">
        <v>1.45</v>
      </c>
      <c r="AH83">
        <v>1.45</v>
      </c>
      <c r="AI83">
        <v>1.45</v>
      </c>
      <c r="AJ83">
        <v>1.45</v>
      </c>
      <c r="AK83">
        <v>1.45</v>
      </c>
      <c r="AL83">
        <v>1.45</v>
      </c>
      <c r="AM83">
        <v>1.45</v>
      </c>
      <c r="AN83">
        <v>1.45</v>
      </c>
      <c r="AO83">
        <v>1.45</v>
      </c>
      <c r="AP83">
        <v>1.45</v>
      </c>
      <c r="AQ83">
        <v>1.45</v>
      </c>
      <c r="AR83">
        <v>1.45</v>
      </c>
      <c r="AS83">
        <v>1.45</v>
      </c>
      <c r="AT83">
        <v>1.45</v>
      </c>
      <c r="AU83">
        <v>1.45</v>
      </c>
      <c r="AV83">
        <v>1.45</v>
      </c>
      <c r="AW83">
        <v>1.45</v>
      </c>
      <c r="AX83">
        <v>1.45</v>
      </c>
      <c r="AY83">
        <v>1.45</v>
      </c>
      <c r="AZ83">
        <v>1.45</v>
      </c>
      <c r="BA83">
        <v>1.45</v>
      </c>
      <c r="BB83">
        <v>1.45</v>
      </c>
      <c r="BC83">
        <v>1.45</v>
      </c>
      <c r="BD83">
        <v>1.45</v>
      </c>
      <c r="BE83">
        <v>1.45</v>
      </c>
      <c r="BF83">
        <v>1.45</v>
      </c>
      <c r="BG83">
        <v>1.45</v>
      </c>
      <c r="BH83">
        <v>1.45</v>
      </c>
      <c r="BI83">
        <v>1.45</v>
      </c>
      <c r="BJ83">
        <v>1.45</v>
      </c>
      <c r="BK83">
        <v>1.45</v>
      </c>
      <c r="BL83">
        <v>1.45</v>
      </c>
      <c r="BM83">
        <v>1.45</v>
      </c>
      <c r="BN83">
        <v>1.45</v>
      </c>
      <c r="BO83">
        <v>1.45</v>
      </c>
      <c r="BP83">
        <v>1.45</v>
      </c>
      <c r="BQ83">
        <v>1.45</v>
      </c>
      <c r="BR83">
        <v>1.45</v>
      </c>
      <c r="BS83">
        <v>1.45</v>
      </c>
      <c r="BT83">
        <v>1.45</v>
      </c>
      <c r="BU83">
        <v>1.45</v>
      </c>
      <c r="BV83">
        <v>1.45</v>
      </c>
      <c r="BW83" s="13">
        <v>1.45</v>
      </c>
      <c r="BX83" s="13">
        <v>1.45</v>
      </c>
      <c r="BY83" s="13">
        <v>1.45</v>
      </c>
      <c r="BZ83" s="13">
        <v>1.45</v>
      </c>
      <c r="CA83" s="13">
        <v>1.45</v>
      </c>
      <c r="CB83" s="13">
        <v>1.45</v>
      </c>
      <c r="CC83" s="13">
        <v>1.45</v>
      </c>
      <c r="CD83" s="13">
        <v>1.45</v>
      </c>
      <c r="CE83" s="13">
        <v>1.45</v>
      </c>
      <c r="CF83" s="13">
        <v>1.45</v>
      </c>
      <c r="CG83" s="13">
        <v>1.45</v>
      </c>
    </row>
    <row r="84" spans="1:85" x14ac:dyDescent="0.3">
      <c r="A84" t="s">
        <v>122</v>
      </c>
      <c r="B84">
        <v>0.81</v>
      </c>
      <c r="C84">
        <v>0.81</v>
      </c>
      <c r="D84">
        <v>0.81</v>
      </c>
      <c r="E84">
        <v>0.81</v>
      </c>
      <c r="F84">
        <v>0.81</v>
      </c>
      <c r="G84">
        <v>0.81</v>
      </c>
      <c r="H84">
        <v>0.81</v>
      </c>
      <c r="I84">
        <v>0.81</v>
      </c>
      <c r="J84">
        <v>0.81</v>
      </c>
      <c r="K84">
        <v>0.81</v>
      </c>
      <c r="L84">
        <v>0.81</v>
      </c>
      <c r="M84">
        <v>0.81</v>
      </c>
      <c r="N84">
        <v>0.81</v>
      </c>
      <c r="O84">
        <v>0.81</v>
      </c>
      <c r="P84">
        <v>0.81</v>
      </c>
      <c r="Q84">
        <v>0.81</v>
      </c>
      <c r="R84">
        <v>0.81</v>
      </c>
      <c r="S84">
        <v>0.81</v>
      </c>
      <c r="T84">
        <v>0.81</v>
      </c>
      <c r="U84">
        <v>0.81</v>
      </c>
      <c r="V84">
        <v>0.81</v>
      </c>
      <c r="W84">
        <v>0.81</v>
      </c>
      <c r="X84">
        <v>0.81</v>
      </c>
      <c r="Y84">
        <v>0.81</v>
      </c>
      <c r="Z84">
        <v>0.81</v>
      </c>
      <c r="AA84">
        <v>0.81</v>
      </c>
      <c r="AB84">
        <v>0.81</v>
      </c>
      <c r="AC84">
        <v>0.81</v>
      </c>
      <c r="AD84">
        <v>0.81</v>
      </c>
      <c r="AE84">
        <v>0.81</v>
      </c>
      <c r="AF84">
        <v>1.45</v>
      </c>
      <c r="AG84">
        <v>1.45</v>
      </c>
      <c r="AH84">
        <v>1.45</v>
      </c>
      <c r="AI84">
        <v>1.45</v>
      </c>
      <c r="AJ84">
        <v>1.45</v>
      </c>
      <c r="AK84">
        <v>1.45</v>
      </c>
      <c r="AL84">
        <v>1.45</v>
      </c>
      <c r="AM84">
        <v>1.45</v>
      </c>
      <c r="AN84">
        <v>1.45</v>
      </c>
      <c r="AO84">
        <v>1.45</v>
      </c>
      <c r="AP84">
        <v>1.45</v>
      </c>
      <c r="AQ84">
        <v>1.45</v>
      </c>
      <c r="AR84">
        <v>1.45</v>
      </c>
      <c r="AS84">
        <v>1.45</v>
      </c>
      <c r="AT84">
        <v>1.45</v>
      </c>
      <c r="AU84">
        <v>1.45</v>
      </c>
      <c r="AV84">
        <v>1.45</v>
      </c>
      <c r="AW84">
        <v>1.45</v>
      </c>
      <c r="AX84">
        <v>1.45</v>
      </c>
      <c r="AY84">
        <v>1.45</v>
      </c>
      <c r="AZ84">
        <v>1.45</v>
      </c>
      <c r="BA84">
        <v>1.45</v>
      </c>
      <c r="BB84">
        <v>1.45</v>
      </c>
      <c r="BC84">
        <v>1.45</v>
      </c>
      <c r="BD84">
        <v>1.45</v>
      </c>
      <c r="BE84">
        <v>1.45</v>
      </c>
      <c r="BF84">
        <v>1.45</v>
      </c>
      <c r="BG84">
        <v>1.45</v>
      </c>
      <c r="BH84">
        <v>1.45</v>
      </c>
      <c r="BI84">
        <v>1.45</v>
      </c>
      <c r="BJ84">
        <v>1.45</v>
      </c>
      <c r="BK84">
        <v>1.45</v>
      </c>
      <c r="BL84">
        <v>1.45</v>
      </c>
      <c r="BM84">
        <v>1.45</v>
      </c>
      <c r="BN84">
        <v>1.45</v>
      </c>
      <c r="BO84">
        <v>1.45</v>
      </c>
      <c r="BP84">
        <v>1.45</v>
      </c>
      <c r="BQ84">
        <v>1.45</v>
      </c>
      <c r="BR84">
        <v>1.45</v>
      </c>
      <c r="BS84">
        <v>1.45</v>
      </c>
      <c r="BT84">
        <v>1.45</v>
      </c>
      <c r="BU84">
        <v>1.45</v>
      </c>
      <c r="BV84">
        <v>1.45</v>
      </c>
      <c r="BW84" s="13">
        <v>1.45</v>
      </c>
      <c r="BX84" s="13">
        <v>1.45</v>
      </c>
      <c r="BY84" s="13">
        <v>1.45</v>
      </c>
      <c r="BZ84" s="13">
        <v>1.45</v>
      </c>
      <c r="CA84" s="13">
        <v>1.45</v>
      </c>
      <c r="CB84" s="13">
        <v>1.45</v>
      </c>
      <c r="CC84" s="13">
        <v>1.45</v>
      </c>
      <c r="CD84" s="13">
        <v>1.45</v>
      </c>
      <c r="CE84" s="13">
        <v>1.45</v>
      </c>
      <c r="CF84" s="13">
        <v>1.45</v>
      </c>
      <c r="CG84" s="13">
        <v>1.45</v>
      </c>
    </row>
    <row r="85" spans="1:85" x14ac:dyDescent="0.3">
      <c r="A85" t="s">
        <v>123</v>
      </c>
      <c r="B85">
        <v>0.81</v>
      </c>
      <c r="C85">
        <v>0.81</v>
      </c>
      <c r="D85">
        <v>0.81</v>
      </c>
      <c r="E85">
        <v>0.81</v>
      </c>
      <c r="F85">
        <v>0.81</v>
      </c>
      <c r="G85">
        <v>0.81</v>
      </c>
      <c r="H85">
        <v>0.81</v>
      </c>
      <c r="I85">
        <v>0.81</v>
      </c>
      <c r="J85">
        <v>0.81</v>
      </c>
      <c r="K85">
        <v>0.81</v>
      </c>
      <c r="L85">
        <v>0.81</v>
      </c>
      <c r="M85">
        <v>0.81</v>
      </c>
      <c r="N85">
        <v>0.81</v>
      </c>
      <c r="O85">
        <v>0.81</v>
      </c>
      <c r="P85">
        <v>0.81</v>
      </c>
      <c r="Q85">
        <v>0.81</v>
      </c>
      <c r="R85">
        <v>0.81</v>
      </c>
      <c r="S85">
        <v>0.81</v>
      </c>
      <c r="T85">
        <v>0.81</v>
      </c>
      <c r="U85">
        <v>0.81</v>
      </c>
      <c r="V85">
        <v>0.81</v>
      </c>
      <c r="W85">
        <v>0.81</v>
      </c>
      <c r="X85">
        <v>0.81</v>
      </c>
      <c r="Y85">
        <v>0.81</v>
      </c>
      <c r="Z85">
        <v>0.81</v>
      </c>
      <c r="AA85">
        <v>0.81</v>
      </c>
      <c r="AB85">
        <v>0.81</v>
      </c>
      <c r="AC85">
        <v>0.81</v>
      </c>
      <c r="AD85">
        <v>0.81</v>
      </c>
      <c r="AE85">
        <v>0.81</v>
      </c>
      <c r="AF85">
        <v>1.45</v>
      </c>
      <c r="AG85">
        <v>1.45</v>
      </c>
      <c r="AH85">
        <v>1.45</v>
      </c>
      <c r="AI85">
        <v>1.45</v>
      </c>
      <c r="AJ85">
        <v>1.45</v>
      </c>
      <c r="AK85">
        <v>1.45</v>
      </c>
      <c r="AL85">
        <v>1.45</v>
      </c>
      <c r="AM85">
        <v>1.45</v>
      </c>
      <c r="AN85">
        <v>1.45</v>
      </c>
      <c r="AO85">
        <v>1.45</v>
      </c>
      <c r="AP85">
        <v>1.45</v>
      </c>
      <c r="AQ85">
        <v>1.45</v>
      </c>
      <c r="AR85">
        <v>1.45</v>
      </c>
      <c r="AS85">
        <v>1.45</v>
      </c>
      <c r="AT85">
        <v>1.45</v>
      </c>
      <c r="AU85">
        <v>1.45</v>
      </c>
      <c r="AV85">
        <v>1.45</v>
      </c>
      <c r="AW85">
        <v>1.45</v>
      </c>
      <c r="AX85">
        <v>1.45</v>
      </c>
      <c r="AY85">
        <v>1.45</v>
      </c>
      <c r="AZ85">
        <v>1.45</v>
      </c>
      <c r="BA85">
        <v>1.45</v>
      </c>
      <c r="BB85">
        <v>1.45</v>
      </c>
      <c r="BC85">
        <v>1.45</v>
      </c>
      <c r="BD85">
        <v>1.45</v>
      </c>
      <c r="BE85">
        <v>1.45</v>
      </c>
      <c r="BF85">
        <v>1.45</v>
      </c>
      <c r="BG85">
        <v>1.45</v>
      </c>
      <c r="BH85">
        <v>1.45</v>
      </c>
      <c r="BI85">
        <v>1.45</v>
      </c>
      <c r="BJ85">
        <v>1.45</v>
      </c>
      <c r="BK85">
        <v>1.45</v>
      </c>
      <c r="BL85">
        <v>1.45</v>
      </c>
      <c r="BM85">
        <v>1.45</v>
      </c>
      <c r="BN85">
        <v>1.45</v>
      </c>
      <c r="BO85">
        <v>1.45</v>
      </c>
      <c r="BP85">
        <v>1.45</v>
      </c>
      <c r="BQ85">
        <v>1.45</v>
      </c>
      <c r="BR85">
        <v>1.45</v>
      </c>
      <c r="BS85">
        <v>1.45</v>
      </c>
      <c r="BT85">
        <v>1.45</v>
      </c>
      <c r="BU85">
        <v>1.45</v>
      </c>
      <c r="BV85">
        <v>1.45</v>
      </c>
      <c r="BW85" s="13">
        <v>1.45</v>
      </c>
      <c r="BX85" s="13">
        <v>1.45</v>
      </c>
      <c r="BY85" s="13">
        <v>1.45</v>
      </c>
      <c r="BZ85" s="13">
        <v>1.45</v>
      </c>
      <c r="CA85" s="13">
        <v>1.45</v>
      </c>
      <c r="CB85" s="13">
        <v>1.45</v>
      </c>
      <c r="CC85" s="13">
        <v>1.45</v>
      </c>
      <c r="CD85" s="13">
        <v>1.45</v>
      </c>
      <c r="CE85" s="13">
        <v>1.45</v>
      </c>
      <c r="CF85" s="13">
        <v>1.45</v>
      </c>
      <c r="CG85" s="13">
        <v>1.45</v>
      </c>
    </row>
    <row r="86" spans="1:85" x14ac:dyDescent="0.3">
      <c r="A86" t="s">
        <v>124</v>
      </c>
      <c r="B86">
        <v>0.81</v>
      </c>
      <c r="C86">
        <v>0.81</v>
      </c>
      <c r="D86">
        <v>0.81</v>
      </c>
      <c r="E86">
        <v>0.81</v>
      </c>
      <c r="F86">
        <v>0.81</v>
      </c>
      <c r="G86">
        <v>0.81</v>
      </c>
      <c r="H86">
        <v>0.81</v>
      </c>
      <c r="I86">
        <v>0.81</v>
      </c>
      <c r="J86">
        <v>0.81</v>
      </c>
      <c r="K86">
        <v>0.81</v>
      </c>
      <c r="L86">
        <v>0.81</v>
      </c>
      <c r="M86">
        <v>0.81</v>
      </c>
      <c r="N86">
        <v>0.81</v>
      </c>
      <c r="O86">
        <v>0.81</v>
      </c>
      <c r="P86">
        <v>0.81</v>
      </c>
      <c r="Q86">
        <v>0.81</v>
      </c>
      <c r="R86">
        <v>0.81</v>
      </c>
      <c r="S86">
        <v>0.81</v>
      </c>
      <c r="T86">
        <v>0.81</v>
      </c>
      <c r="U86">
        <v>0.81</v>
      </c>
      <c r="V86">
        <v>0.81</v>
      </c>
      <c r="W86">
        <v>0.81</v>
      </c>
      <c r="X86">
        <v>0.81</v>
      </c>
      <c r="Y86">
        <v>0.81</v>
      </c>
      <c r="Z86">
        <v>0.81</v>
      </c>
      <c r="AA86">
        <v>0.81</v>
      </c>
      <c r="AB86">
        <v>0.81</v>
      </c>
      <c r="AC86">
        <v>0.81</v>
      </c>
      <c r="AD86">
        <v>0.81</v>
      </c>
      <c r="AE86">
        <v>0.81</v>
      </c>
      <c r="AF86">
        <v>1.45</v>
      </c>
      <c r="AG86">
        <v>1.45</v>
      </c>
      <c r="AH86">
        <v>1.45</v>
      </c>
      <c r="AI86">
        <v>1.45</v>
      </c>
      <c r="AJ86">
        <v>1.45</v>
      </c>
      <c r="AK86">
        <v>1.45</v>
      </c>
      <c r="AL86">
        <v>1.45</v>
      </c>
      <c r="AM86">
        <v>1.45</v>
      </c>
      <c r="AN86">
        <v>1.45</v>
      </c>
      <c r="AO86">
        <v>1.45</v>
      </c>
      <c r="AP86">
        <v>1.45</v>
      </c>
      <c r="AQ86">
        <v>1.45</v>
      </c>
      <c r="AR86">
        <v>1.45</v>
      </c>
      <c r="AS86">
        <v>1.45</v>
      </c>
      <c r="AT86">
        <v>1.45</v>
      </c>
      <c r="AU86">
        <v>1.45</v>
      </c>
      <c r="AV86">
        <v>1.45</v>
      </c>
      <c r="AW86">
        <v>1.45</v>
      </c>
      <c r="AX86">
        <v>1.45</v>
      </c>
      <c r="AY86">
        <v>1.45</v>
      </c>
      <c r="AZ86">
        <v>1.45</v>
      </c>
      <c r="BA86">
        <v>1.45</v>
      </c>
      <c r="BB86">
        <v>1.45</v>
      </c>
      <c r="BC86">
        <v>1.45</v>
      </c>
      <c r="BD86">
        <v>1.45</v>
      </c>
      <c r="BE86">
        <v>1.45</v>
      </c>
      <c r="BF86">
        <v>1.45</v>
      </c>
      <c r="BG86">
        <v>1.45</v>
      </c>
      <c r="BH86">
        <v>1.45</v>
      </c>
      <c r="BI86">
        <v>1.45</v>
      </c>
      <c r="BJ86">
        <v>1.45</v>
      </c>
      <c r="BK86">
        <v>1.45</v>
      </c>
      <c r="BL86">
        <v>1.45</v>
      </c>
      <c r="BM86">
        <v>1.45</v>
      </c>
      <c r="BN86">
        <v>1.45</v>
      </c>
      <c r="BO86">
        <v>1.45</v>
      </c>
      <c r="BP86">
        <v>1.45</v>
      </c>
      <c r="BQ86">
        <v>1.45</v>
      </c>
      <c r="BR86">
        <v>1.45</v>
      </c>
      <c r="BS86">
        <v>1.45</v>
      </c>
      <c r="BT86">
        <v>1.45</v>
      </c>
      <c r="BU86">
        <v>1.45</v>
      </c>
      <c r="BV86">
        <v>1.45</v>
      </c>
      <c r="BW86" s="13">
        <v>1.45</v>
      </c>
      <c r="BX86" s="13">
        <v>1.45</v>
      </c>
      <c r="BY86" s="13">
        <v>1.45</v>
      </c>
      <c r="BZ86" s="13">
        <v>1.45</v>
      </c>
      <c r="CA86" s="13">
        <v>1.45</v>
      </c>
      <c r="CB86" s="13">
        <v>1.45</v>
      </c>
      <c r="CC86" s="13">
        <v>1.45</v>
      </c>
      <c r="CD86" s="13">
        <v>1.45</v>
      </c>
      <c r="CE86" s="13">
        <v>1.45</v>
      </c>
      <c r="CF86" s="13">
        <v>1.45</v>
      </c>
      <c r="CG86" s="13">
        <v>1.45</v>
      </c>
    </row>
    <row r="87" spans="1:85" x14ac:dyDescent="0.3">
      <c r="A87" t="s">
        <v>125</v>
      </c>
      <c r="B87">
        <v>0.81</v>
      </c>
      <c r="C87">
        <v>0.81</v>
      </c>
      <c r="D87">
        <v>0.81</v>
      </c>
      <c r="E87">
        <v>0.81</v>
      </c>
      <c r="F87">
        <v>0.81</v>
      </c>
      <c r="G87">
        <v>0.81</v>
      </c>
      <c r="H87">
        <v>0.81</v>
      </c>
      <c r="I87">
        <v>0.81</v>
      </c>
      <c r="J87">
        <v>0.81</v>
      </c>
      <c r="K87">
        <v>0.81</v>
      </c>
      <c r="L87">
        <v>0.81</v>
      </c>
      <c r="M87">
        <v>0.81</v>
      </c>
      <c r="N87">
        <v>0.81</v>
      </c>
      <c r="O87">
        <v>0.81</v>
      </c>
      <c r="P87">
        <v>0.81</v>
      </c>
      <c r="Q87">
        <v>0.81</v>
      </c>
      <c r="R87">
        <v>0.81</v>
      </c>
      <c r="S87">
        <v>0.81</v>
      </c>
      <c r="T87">
        <v>0.81</v>
      </c>
      <c r="U87">
        <v>0.81</v>
      </c>
      <c r="V87">
        <v>0.81</v>
      </c>
      <c r="W87">
        <v>0.81</v>
      </c>
      <c r="X87">
        <v>0.81</v>
      </c>
      <c r="Y87">
        <v>0.81</v>
      </c>
      <c r="Z87">
        <v>0.81</v>
      </c>
      <c r="AA87">
        <v>0.81</v>
      </c>
      <c r="AB87">
        <v>0.81</v>
      </c>
      <c r="AC87">
        <v>0.81</v>
      </c>
      <c r="AD87">
        <v>0.81</v>
      </c>
      <c r="AE87">
        <v>0.81</v>
      </c>
      <c r="AF87">
        <v>1.45</v>
      </c>
      <c r="AG87">
        <v>1.45</v>
      </c>
      <c r="AH87">
        <v>1.45</v>
      </c>
      <c r="AI87">
        <v>1.45</v>
      </c>
      <c r="AJ87">
        <v>1.45</v>
      </c>
      <c r="AK87">
        <v>1.45</v>
      </c>
      <c r="AL87">
        <v>1.45</v>
      </c>
      <c r="AM87">
        <v>1.45</v>
      </c>
      <c r="AN87">
        <v>1.45</v>
      </c>
      <c r="AO87">
        <v>1.45</v>
      </c>
      <c r="AP87">
        <v>1.45</v>
      </c>
      <c r="AQ87">
        <v>1.45</v>
      </c>
      <c r="AR87">
        <v>1.45</v>
      </c>
      <c r="AS87">
        <v>1.45</v>
      </c>
      <c r="AT87">
        <v>1.45</v>
      </c>
      <c r="AU87">
        <v>1.45</v>
      </c>
      <c r="AV87">
        <v>1.45</v>
      </c>
      <c r="AW87">
        <v>1.45</v>
      </c>
      <c r="AX87">
        <v>1.45</v>
      </c>
      <c r="AY87">
        <v>1.45</v>
      </c>
      <c r="AZ87">
        <v>1.45</v>
      </c>
      <c r="BA87">
        <v>1.45</v>
      </c>
      <c r="BB87">
        <v>1.45</v>
      </c>
      <c r="BC87">
        <v>1.45</v>
      </c>
      <c r="BD87">
        <v>1.45</v>
      </c>
      <c r="BE87">
        <v>1.45</v>
      </c>
      <c r="BF87">
        <v>1.45</v>
      </c>
      <c r="BG87">
        <v>1.45</v>
      </c>
      <c r="BH87">
        <v>1.45</v>
      </c>
      <c r="BI87">
        <v>1.45</v>
      </c>
      <c r="BJ87">
        <v>1.45</v>
      </c>
      <c r="BK87">
        <v>1.45</v>
      </c>
      <c r="BL87">
        <v>1.45</v>
      </c>
      <c r="BM87">
        <v>1.45</v>
      </c>
      <c r="BN87">
        <v>1.45</v>
      </c>
      <c r="BO87">
        <v>1.45</v>
      </c>
      <c r="BP87">
        <v>1.45</v>
      </c>
      <c r="BQ87">
        <v>1.45</v>
      </c>
      <c r="BR87">
        <v>1.45</v>
      </c>
      <c r="BS87">
        <v>1.45</v>
      </c>
      <c r="BT87">
        <v>1.45</v>
      </c>
      <c r="BU87">
        <v>1.45</v>
      </c>
      <c r="BV87">
        <v>1.45</v>
      </c>
      <c r="BW87" s="13">
        <v>1.45</v>
      </c>
      <c r="BX87" s="13">
        <v>1.45</v>
      </c>
      <c r="BY87" s="13">
        <v>1.45</v>
      </c>
      <c r="BZ87" s="13">
        <v>1.45</v>
      </c>
      <c r="CA87" s="13">
        <v>1.45</v>
      </c>
      <c r="CB87" s="13">
        <v>1.45</v>
      </c>
      <c r="CC87" s="13">
        <v>1.45</v>
      </c>
      <c r="CD87" s="13">
        <v>1.45</v>
      </c>
      <c r="CE87" s="13">
        <v>1.45</v>
      </c>
      <c r="CF87" s="13">
        <v>1.45</v>
      </c>
      <c r="CG87" s="13">
        <v>1.45</v>
      </c>
    </row>
    <row r="88" spans="1:85" x14ac:dyDescent="0.3">
      <c r="A88" t="s">
        <v>126</v>
      </c>
      <c r="B88">
        <v>0.81</v>
      </c>
      <c r="C88">
        <v>0.81</v>
      </c>
      <c r="D88">
        <v>0.81</v>
      </c>
      <c r="E88">
        <v>0.81</v>
      </c>
      <c r="F88">
        <v>0.81</v>
      </c>
      <c r="G88">
        <v>0.81</v>
      </c>
      <c r="H88">
        <v>0.81</v>
      </c>
      <c r="I88">
        <v>0.81</v>
      </c>
      <c r="J88">
        <v>0.81</v>
      </c>
      <c r="K88">
        <v>0.81</v>
      </c>
      <c r="L88">
        <v>0.81</v>
      </c>
      <c r="M88">
        <v>0.81</v>
      </c>
      <c r="N88">
        <v>0.81</v>
      </c>
      <c r="O88">
        <v>0.81</v>
      </c>
      <c r="P88">
        <v>0.81</v>
      </c>
      <c r="Q88">
        <v>0.81</v>
      </c>
      <c r="R88">
        <v>0.81</v>
      </c>
      <c r="S88">
        <v>0.81</v>
      </c>
      <c r="T88">
        <v>0.81</v>
      </c>
      <c r="U88">
        <v>0.81</v>
      </c>
      <c r="V88">
        <v>0.81</v>
      </c>
      <c r="W88">
        <v>0.81</v>
      </c>
      <c r="X88">
        <v>0.81</v>
      </c>
      <c r="Y88">
        <v>0.81</v>
      </c>
      <c r="Z88">
        <v>0.81</v>
      </c>
      <c r="AA88">
        <v>0.81</v>
      </c>
      <c r="AB88">
        <v>0.81</v>
      </c>
      <c r="AC88">
        <v>0.81</v>
      </c>
      <c r="AD88">
        <v>0.81</v>
      </c>
      <c r="AE88">
        <v>0.81</v>
      </c>
      <c r="AF88">
        <v>1.45</v>
      </c>
      <c r="AG88">
        <v>1.45</v>
      </c>
      <c r="AH88">
        <v>1.45</v>
      </c>
      <c r="AI88">
        <v>1.45</v>
      </c>
      <c r="AJ88">
        <v>1.45</v>
      </c>
      <c r="AK88">
        <v>1.45</v>
      </c>
      <c r="AL88">
        <v>1.45</v>
      </c>
      <c r="AM88">
        <v>1.45</v>
      </c>
      <c r="AN88">
        <v>1.45</v>
      </c>
      <c r="AO88">
        <v>1.45</v>
      </c>
      <c r="AP88">
        <v>1.45</v>
      </c>
      <c r="AQ88">
        <v>1.45</v>
      </c>
      <c r="AR88">
        <v>1.45</v>
      </c>
      <c r="AS88">
        <v>1.45</v>
      </c>
      <c r="AT88">
        <v>1.45</v>
      </c>
      <c r="AU88">
        <v>1.45</v>
      </c>
      <c r="AV88">
        <v>1.45</v>
      </c>
      <c r="AW88">
        <v>1.45</v>
      </c>
      <c r="AX88">
        <v>1.45</v>
      </c>
      <c r="AY88">
        <v>1.45</v>
      </c>
      <c r="AZ88">
        <v>1.45</v>
      </c>
      <c r="BA88">
        <v>1.45</v>
      </c>
      <c r="BB88">
        <v>1.45</v>
      </c>
      <c r="BC88">
        <v>1.45</v>
      </c>
      <c r="BD88">
        <v>1.45</v>
      </c>
      <c r="BE88">
        <v>1.45</v>
      </c>
      <c r="BF88">
        <v>1.45</v>
      </c>
      <c r="BG88">
        <v>1.45</v>
      </c>
      <c r="BH88">
        <v>1.45</v>
      </c>
      <c r="BI88">
        <v>1.45</v>
      </c>
      <c r="BJ88">
        <v>1.45</v>
      </c>
      <c r="BK88">
        <v>1.45</v>
      </c>
      <c r="BL88">
        <v>1.45</v>
      </c>
      <c r="BM88">
        <v>1.45</v>
      </c>
      <c r="BN88">
        <v>1.45</v>
      </c>
      <c r="BO88">
        <v>1.45</v>
      </c>
      <c r="BP88">
        <v>1.45</v>
      </c>
      <c r="BQ88">
        <v>1.45</v>
      </c>
      <c r="BR88">
        <v>1.45</v>
      </c>
      <c r="BS88">
        <v>1.45</v>
      </c>
      <c r="BT88">
        <v>1.45</v>
      </c>
      <c r="BU88">
        <v>1.45</v>
      </c>
      <c r="BV88">
        <v>1.45</v>
      </c>
      <c r="BW88" s="13">
        <v>1.45</v>
      </c>
      <c r="BX88" s="13">
        <v>1.45</v>
      </c>
      <c r="BY88" s="13">
        <v>1.45</v>
      </c>
      <c r="BZ88" s="13">
        <v>1.45</v>
      </c>
      <c r="CA88" s="13">
        <v>1.45</v>
      </c>
      <c r="CB88" s="13">
        <v>1.45</v>
      </c>
      <c r="CC88" s="13">
        <v>1.45</v>
      </c>
      <c r="CD88" s="13">
        <v>1.45</v>
      </c>
      <c r="CE88" s="13">
        <v>1.45</v>
      </c>
      <c r="CF88" s="13">
        <v>1.45</v>
      </c>
      <c r="CG88" s="13">
        <v>1.45</v>
      </c>
    </row>
    <row r="89" spans="1:85" x14ac:dyDescent="0.3">
      <c r="A89" t="s">
        <v>127</v>
      </c>
      <c r="B89">
        <v>0.81</v>
      </c>
      <c r="C89">
        <v>0.81</v>
      </c>
      <c r="D89">
        <v>0.81</v>
      </c>
      <c r="E89">
        <v>0.81</v>
      </c>
      <c r="F89">
        <v>0.81</v>
      </c>
      <c r="G89">
        <v>0.81</v>
      </c>
      <c r="H89">
        <v>0.81</v>
      </c>
      <c r="I89">
        <v>0.81</v>
      </c>
      <c r="J89">
        <v>0.81</v>
      </c>
      <c r="K89">
        <v>0.81</v>
      </c>
      <c r="L89">
        <v>0.81</v>
      </c>
      <c r="M89">
        <v>0.81</v>
      </c>
      <c r="N89">
        <v>0.81</v>
      </c>
      <c r="O89">
        <v>0.81</v>
      </c>
      <c r="P89">
        <v>0.81</v>
      </c>
      <c r="Q89">
        <v>0.81</v>
      </c>
      <c r="R89">
        <v>0.81</v>
      </c>
      <c r="S89">
        <v>0.81</v>
      </c>
      <c r="T89">
        <v>0.81</v>
      </c>
      <c r="U89">
        <v>0.81</v>
      </c>
      <c r="V89">
        <v>0.81</v>
      </c>
      <c r="W89">
        <v>0.81</v>
      </c>
      <c r="X89">
        <v>0.81</v>
      </c>
      <c r="Y89">
        <v>0.81</v>
      </c>
      <c r="Z89">
        <v>0.81</v>
      </c>
      <c r="AA89">
        <v>0.81</v>
      </c>
      <c r="AB89">
        <v>0.81</v>
      </c>
      <c r="AC89">
        <v>0.81</v>
      </c>
      <c r="AD89">
        <v>0.81</v>
      </c>
      <c r="AE89">
        <v>0.81</v>
      </c>
      <c r="AF89">
        <v>1.45</v>
      </c>
      <c r="AG89">
        <v>1.45</v>
      </c>
      <c r="AH89">
        <v>1.45</v>
      </c>
      <c r="AI89">
        <v>1.45</v>
      </c>
      <c r="AJ89">
        <v>1.45</v>
      </c>
      <c r="AK89">
        <v>1.45</v>
      </c>
      <c r="AL89">
        <v>1.45</v>
      </c>
      <c r="AM89">
        <v>1.45</v>
      </c>
      <c r="AN89">
        <v>1.45</v>
      </c>
      <c r="AO89">
        <v>1.45</v>
      </c>
      <c r="AP89">
        <v>1.45</v>
      </c>
      <c r="AQ89">
        <v>1.45</v>
      </c>
      <c r="AR89">
        <v>1.45</v>
      </c>
      <c r="AS89">
        <v>1.45</v>
      </c>
      <c r="AT89">
        <v>1.45</v>
      </c>
      <c r="AU89">
        <v>1.45</v>
      </c>
      <c r="AV89">
        <v>1.45</v>
      </c>
      <c r="AW89">
        <v>1.45</v>
      </c>
      <c r="AX89">
        <v>1.45</v>
      </c>
      <c r="AY89">
        <v>1.45</v>
      </c>
      <c r="AZ89">
        <v>1.45</v>
      </c>
      <c r="BA89">
        <v>1.45</v>
      </c>
      <c r="BB89">
        <v>1.45</v>
      </c>
      <c r="BC89">
        <v>1.45</v>
      </c>
      <c r="BD89">
        <v>1.45</v>
      </c>
      <c r="BE89">
        <v>1.45</v>
      </c>
      <c r="BF89">
        <v>1.45</v>
      </c>
      <c r="BG89">
        <v>1.45</v>
      </c>
      <c r="BH89">
        <v>1.45</v>
      </c>
      <c r="BI89">
        <v>1.45</v>
      </c>
      <c r="BJ89">
        <v>1.45</v>
      </c>
      <c r="BK89">
        <v>1.45</v>
      </c>
      <c r="BL89">
        <v>1.45</v>
      </c>
      <c r="BM89">
        <v>1.45</v>
      </c>
      <c r="BN89">
        <v>1.45</v>
      </c>
      <c r="BO89">
        <v>1.45</v>
      </c>
      <c r="BP89">
        <v>1.45</v>
      </c>
      <c r="BQ89">
        <v>1.45</v>
      </c>
      <c r="BR89">
        <v>1.45</v>
      </c>
      <c r="BS89">
        <v>1.45</v>
      </c>
      <c r="BT89">
        <v>1.45</v>
      </c>
      <c r="BU89">
        <v>1.45</v>
      </c>
      <c r="BV89">
        <v>1.45</v>
      </c>
      <c r="BW89" s="13">
        <v>1.45</v>
      </c>
      <c r="BX89" s="13">
        <v>1.45</v>
      </c>
      <c r="BY89" s="13">
        <v>1.45</v>
      </c>
      <c r="BZ89" s="13">
        <v>1.45</v>
      </c>
      <c r="CA89" s="13">
        <v>1.45</v>
      </c>
      <c r="CB89" s="13">
        <v>1.45</v>
      </c>
      <c r="CC89" s="13">
        <v>1.45</v>
      </c>
      <c r="CD89" s="13">
        <v>1.45</v>
      </c>
      <c r="CE89" s="13">
        <v>1.45</v>
      </c>
      <c r="CF89" s="13">
        <v>1.45</v>
      </c>
      <c r="CG89" s="13">
        <v>1.45</v>
      </c>
    </row>
    <row r="90" spans="1:85" x14ac:dyDescent="0.3">
      <c r="A90" t="s">
        <v>128</v>
      </c>
      <c r="B90" s="4">
        <v>0.4</v>
      </c>
      <c r="C90" s="4">
        <v>0.4</v>
      </c>
      <c r="D90" s="4">
        <v>0.4</v>
      </c>
      <c r="E90" s="4">
        <v>0.4</v>
      </c>
      <c r="F90" s="4">
        <v>0.4</v>
      </c>
      <c r="G90" s="4">
        <v>0.4</v>
      </c>
      <c r="H90" s="4">
        <v>0.4</v>
      </c>
      <c r="I90" s="4">
        <v>0.4</v>
      </c>
      <c r="J90" s="4">
        <v>0.4</v>
      </c>
      <c r="K90" s="4">
        <v>0.4</v>
      </c>
      <c r="L90" s="4">
        <v>0.4</v>
      </c>
      <c r="M90" s="4">
        <v>0.4</v>
      </c>
      <c r="N90" s="4">
        <v>0.4</v>
      </c>
      <c r="O90" s="4">
        <v>0.4</v>
      </c>
      <c r="P90" s="4">
        <v>0.4</v>
      </c>
      <c r="Q90" s="4">
        <v>0.4</v>
      </c>
      <c r="R90" s="4">
        <v>0.4</v>
      </c>
      <c r="S90" s="4">
        <v>0.4</v>
      </c>
      <c r="T90" s="4">
        <v>0.4</v>
      </c>
      <c r="U90" s="4">
        <v>0.4</v>
      </c>
      <c r="V90" s="4">
        <v>0.4</v>
      </c>
      <c r="W90" s="4">
        <v>0.4</v>
      </c>
      <c r="X90" s="4">
        <v>0.4</v>
      </c>
      <c r="Y90" s="4">
        <v>0.4</v>
      </c>
      <c r="Z90" s="4">
        <v>0.4</v>
      </c>
      <c r="AA90" s="4">
        <v>0.4</v>
      </c>
      <c r="AB90" s="4">
        <v>0.4</v>
      </c>
      <c r="AC90" s="4">
        <v>0.4</v>
      </c>
      <c r="AD90" s="4">
        <v>0.4</v>
      </c>
      <c r="AE90" s="4">
        <v>0.4</v>
      </c>
      <c r="AF90" s="4">
        <v>0.4</v>
      </c>
      <c r="AG90" s="4">
        <v>0.4</v>
      </c>
      <c r="AH90" s="4">
        <v>0.4</v>
      </c>
      <c r="AI90" s="4">
        <v>0.4</v>
      </c>
      <c r="AJ90" s="4">
        <v>0.4</v>
      </c>
      <c r="AK90" s="4">
        <v>0.4</v>
      </c>
      <c r="AL90" s="4">
        <v>0.4</v>
      </c>
      <c r="AM90" s="4">
        <v>0.4</v>
      </c>
      <c r="AN90" s="4">
        <v>0.4</v>
      </c>
      <c r="AO90" s="4">
        <v>0.4</v>
      </c>
      <c r="AP90" s="4">
        <v>0.4</v>
      </c>
      <c r="AQ90" s="4">
        <v>0.4</v>
      </c>
      <c r="AR90" s="4">
        <v>0.4</v>
      </c>
      <c r="AS90" s="4">
        <v>0.4</v>
      </c>
      <c r="AT90" s="4">
        <v>0.4</v>
      </c>
      <c r="AU90" s="4">
        <v>0.4</v>
      </c>
      <c r="AV90" s="4">
        <v>0.4</v>
      </c>
      <c r="AW90" s="4">
        <v>0.4</v>
      </c>
      <c r="AX90" s="4">
        <v>0.4</v>
      </c>
      <c r="AY90" s="4">
        <v>0.4</v>
      </c>
      <c r="AZ90" s="4">
        <v>0.4</v>
      </c>
      <c r="BA90" s="4">
        <v>0.4</v>
      </c>
      <c r="BB90" s="4">
        <v>0.4</v>
      </c>
      <c r="BC90" s="4">
        <v>0.4</v>
      </c>
      <c r="BD90" s="4">
        <v>0.4</v>
      </c>
      <c r="BE90" s="4">
        <v>0.4</v>
      </c>
      <c r="BF90" s="4">
        <v>0.4</v>
      </c>
      <c r="BG90" s="4">
        <v>0.4</v>
      </c>
      <c r="BH90" s="4">
        <v>0.4</v>
      </c>
      <c r="BI90" s="4">
        <v>0.4</v>
      </c>
      <c r="BJ90" s="4">
        <v>0.4</v>
      </c>
      <c r="BK90" s="4">
        <v>0.4</v>
      </c>
      <c r="BL90" s="4">
        <v>0.4</v>
      </c>
      <c r="BM90" s="4">
        <v>0.4</v>
      </c>
      <c r="BN90" s="4">
        <v>0.4</v>
      </c>
      <c r="BO90" s="4">
        <v>0.4</v>
      </c>
      <c r="BP90" s="4">
        <v>0.4</v>
      </c>
      <c r="BQ90" s="4">
        <v>0.4</v>
      </c>
      <c r="BR90" s="4">
        <v>0.4</v>
      </c>
      <c r="BS90" s="4">
        <v>0.4</v>
      </c>
      <c r="BT90" s="4">
        <v>0.4</v>
      </c>
      <c r="BU90" s="4">
        <v>0.4</v>
      </c>
      <c r="BV90" s="4">
        <v>0.4</v>
      </c>
      <c r="BW90" s="15">
        <v>0.4</v>
      </c>
      <c r="BX90" s="15">
        <v>0.4</v>
      </c>
      <c r="BY90" s="15">
        <v>0.4</v>
      </c>
      <c r="BZ90" s="15">
        <v>0.4</v>
      </c>
      <c r="CA90" s="15">
        <v>0.4</v>
      </c>
      <c r="CB90" s="15">
        <v>0.4</v>
      </c>
      <c r="CC90" s="15">
        <v>0.4</v>
      </c>
      <c r="CD90" s="15">
        <v>0.4</v>
      </c>
      <c r="CE90" s="15">
        <v>0.4</v>
      </c>
      <c r="CF90" s="15">
        <v>0.4</v>
      </c>
      <c r="CG90" s="15">
        <v>0.4</v>
      </c>
    </row>
    <row r="91" spans="1:85" x14ac:dyDescent="0.3">
      <c r="A91" t="s">
        <v>129</v>
      </c>
      <c r="B91" s="4">
        <v>0.3</v>
      </c>
      <c r="C91" s="4">
        <v>0.3</v>
      </c>
      <c r="D91" s="4">
        <v>0.3</v>
      </c>
      <c r="E91" s="4">
        <v>0.3</v>
      </c>
      <c r="F91" s="4">
        <v>0.3</v>
      </c>
      <c r="G91" s="4">
        <v>0.3</v>
      </c>
      <c r="H91" s="4">
        <v>0.3</v>
      </c>
      <c r="I91" s="4">
        <v>0.3</v>
      </c>
      <c r="J91" s="4">
        <v>0.3</v>
      </c>
      <c r="K91" s="4">
        <v>0.3</v>
      </c>
      <c r="L91" s="4">
        <v>0.3</v>
      </c>
      <c r="M91" s="4">
        <v>0.3</v>
      </c>
      <c r="N91" s="4">
        <v>0.3</v>
      </c>
      <c r="O91" s="4">
        <v>0.3</v>
      </c>
      <c r="P91" s="4">
        <v>0.3</v>
      </c>
      <c r="Q91" s="4">
        <v>0.3</v>
      </c>
      <c r="R91" s="4">
        <v>0.3</v>
      </c>
      <c r="S91" s="4">
        <v>0.3</v>
      </c>
      <c r="T91" s="4">
        <v>0.3</v>
      </c>
      <c r="U91" s="4">
        <v>0.3</v>
      </c>
      <c r="V91" s="4">
        <v>0.3</v>
      </c>
      <c r="W91" s="4">
        <v>0.3</v>
      </c>
      <c r="X91" s="4">
        <v>0.3</v>
      </c>
      <c r="Y91" s="4">
        <v>0.3</v>
      </c>
      <c r="Z91" s="4">
        <v>0.3</v>
      </c>
      <c r="AA91" s="4">
        <v>0.3</v>
      </c>
      <c r="AB91" s="4">
        <v>0.3</v>
      </c>
      <c r="AC91" s="4">
        <v>0.3</v>
      </c>
      <c r="AD91" s="4">
        <v>0.3</v>
      </c>
      <c r="AE91" s="4">
        <v>0.3</v>
      </c>
      <c r="AF91" s="4">
        <v>0.3</v>
      </c>
      <c r="AG91" s="4">
        <v>0.3</v>
      </c>
      <c r="AH91" s="4">
        <v>0.3</v>
      </c>
      <c r="AI91" s="4">
        <v>0.3</v>
      </c>
      <c r="AJ91" s="4">
        <v>0.3</v>
      </c>
      <c r="AK91" s="4">
        <v>0.3</v>
      </c>
      <c r="AL91" s="4">
        <v>0.3</v>
      </c>
      <c r="AM91" s="4">
        <v>0.3</v>
      </c>
      <c r="AN91" s="4">
        <v>0.3</v>
      </c>
      <c r="AO91" s="4">
        <v>0.3</v>
      </c>
      <c r="AP91" s="4">
        <v>0.3</v>
      </c>
      <c r="AQ91" s="4">
        <v>0.3</v>
      </c>
      <c r="AR91" s="4">
        <v>0.3</v>
      </c>
      <c r="AS91" s="4">
        <v>0.3</v>
      </c>
      <c r="AT91" s="4">
        <v>0.3</v>
      </c>
      <c r="AU91" s="4">
        <v>0.3</v>
      </c>
      <c r="AV91" s="4">
        <v>0.3</v>
      </c>
      <c r="AW91" s="4">
        <v>0.3</v>
      </c>
      <c r="AX91" s="4">
        <v>0.3</v>
      </c>
      <c r="AY91" s="4">
        <v>0.3</v>
      </c>
      <c r="AZ91" s="4">
        <v>0.3</v>
      </c>
      <c r="BA91" s="4">
        <v>0.3</v>
      </c>
      <c r="BB91" s="4">
        <v>0.3</v>
      </c>
      <c r="BC91" s="4">
        <v>0.3</v>
      </c>
      <c r="BD91" s="4">
        <v>0.3</v>
      </c>
      <c r="BE91" s="4">
        <v>0.3</v>
      </c>
      <c r="BF91" s="4">
        <v>0.3</v>
      </c>
      <c r="BG91" s="4">
        <v>0.3</v>
      </c>
      <c r="BH91" s="4">
        <v>0.3</v>
      </c>
      <c r="BI91" s="4">
        <v>0.3</v>
      </c>
      <c r="BJ91" s="4">
        <v>0.3</v>
      </c>
      <c r="BK91" s="4">
        <v>0.3</v>
      </c>
      <c r="BL91" s="4">
        <v>0.3</v>
      </c>
      <c r="BM91" s="4">
        <v>0.3</v>
      </c>
      <c r="BN91" s="4">
        <v>0.3</v>
      </c>
      <c r="BO91" s="4">
        <v>0.3</v>
      </c>
      <c r="BP91" s="4">
        <v>0.3</v>
      </c>
      <c r="BQ91" s="4">
        <v>0.3</v>
      </c>
      <c r="BR91" s="4">
        <v>0.3</v>
      </c>
      <c r="BS91" s="4">
        <v>0.3</v>
      </c>
      <c r="BT91" s="4">
        <v>0.3</v>
      </c>
      <c r="BU91" s="4">
        <v>0.3</v>
      </c>
      <c r="BV91" s="4">
        <v>0.3</v>
      </c>
      <c r="BW91" s="15">
        <v>0.3</v>
      </c>
      <c r="BX91" s="15">
        <v>0.3</v>
      </c>
      <c r="BY91" s="15">
        <v>0.3</v>
      </c>
      <c r="BZ91" s="15">
        <v>0.3</v>
      </c>
      <c r="CA91" s="15">
        <v>0.3</v>
      </c>
      <c r="CB91" s="15">
        <v>0.3</v>
      </c>
      <c r="CC91" s="15">
        <v>0.3</v>
      </c>
      <c r="CD91" s="15">
        <v>0.3</v>
      </c>
      <c r="CE91" s="15">
        <v>0.3</v>
      </c>
      <c r="CF91" s="15">
        <v>0.3</v>
      </c>
      <c r="CG91" s="15">
        <v>0.3</v>
      </c>
    </row>
    <row r="92" spans="1:85" x14ac:dyDescent="0.3">
      <c r="A92" t="s">
        <v>130</v>
      </c>
      <c r="B92" s="4">
        <v>0.3</v>
      </c>
      <c r="C92" s="4">
        <v>0.3</v>
      </c>
      <c r="D92" s="4">
        <v>0.3</v>
      </c>
      <c r="E92" s="4">
        <v>0.3</v>
      </c>
      <c r="F92" s="4">
        <v>0.3</v>
      </c>
      <c r="G92" s="4">
        <v>0.3</v>
      </c>
      <c r="H92" s="4">
        <v>0.3</v>
      </c>
      <c r="I92" s="4">
        <v>0.3</v>
      </c>
      <c r="J92" s="4">
        <v>0.3</v>
      </c>
      <c r="K92" s="4">
        <v>0.3</v>
      </c>
      <c r="L92" s="4">
        <v>0.3</v>
      </c>
      <c r="M92" s="4">
        <v>0.3</v>
      </c>
      <c r="N92" s="4">
        <v>0.3</v>
      </c>
      <c r="O92" s="4">
        <v>0.3</v>
      </c>
      <c r="P92" s="4">
        <v>0.3</v>
      </c>
      <c r="Q92" s="4">
        <v>0.3</v>
      </c>
      <c r="R92" s="4">
        <v>0.3</v>
      </c>
      <c r="S92" s="4">
        <v>0.3</v>
      </c>
      <c r="T92" s="4">
        <v>0.3</v>
      </c>
      <c r="U92" s="4">
        <v>0.3</v>
      </c>
      <c r="V92" s="4">
        <v>0.3</v>
      </c>
      <c r="W92" s="4">
        <v>0.3</v>
      </c>
      <c r="X92" s="4">
        <v>0.3</v>
      </c>
      <c r="Y92" s="4">
        <v>0.3</v>
      </c>
      <c r="Z92" s="4">
        <v>0.3</v>
      </c>
      <c r="AA92" s="4">
        <v>0.3</v>
      </c>
      <c r="AB92" s="4">
        <v>0.3</v>
      </c>
      <c r="AC92" s="4">
        <v>0.3</v>
      </c>
      <c r="AD92" s="4">
        <v>0.3</v>
      </c>
      <c r="AE92" s="4">
        <v>0.3</v>
      </c>
      <c r="AF92" s="4">
        <v>0.3</v>
      </c>
      <c r="AG92" s="4">
        <v>0.3</v>
      </c>
      <c r="AH92" s="4">
        <v>0.3</v>
      </c>
      <c r="AI92" s="4">
        <v>0.3</v>
      </c>
      <c r="AJ92" s="4">
        <v>0.3</v>
      </c>
      <c r="AK92" s="4">
        <v>0.3</v>
      </c>
      <c r="AL92" s="4">
        <v>0.3</v>
      </c>
      <c r="AM92" s="4">
        <v>0.3</v>
      </c>
      <c r="AN92" s="4">
        <v>0.3</v>
      </c>
      <c r="AO92" s="4">
        <v>0.3</v>
      </c>
      <c r="AP92" s="4">
        <v>0.3</v>
      </c>
      <c r="AQ92" s="4">
        <v>0.3</v>
      </c>
      <c r="AR92" s="4">
        <v>0.3</v>
      </c>
      <c r="AS92" s="4">
        <v>0.3</v>
      </c>
      <c r="AT92" s="4">
        <v>0.3</v>
      </c>
      <c r="AU92" s="4">
        <v>0.3</v>
      </c>
      <c r="AV92" s="4">
        <v>0.3</v>
      </c>
      <c r="AW92" s="4">
        <v>0.3</v>
      </c>
      <c r="AX92" s="4">
        <v>0.3</v>
      </c>
      <c r="AY92" s="4">
        <v>0.3</v>
      </c>
      <c r="AZ92" s="4">
        <v>0.3</v>
      </c>
      <c r="BA92" s="4">
        <v>0.3</v>
      </c>
      <c r="BB92" s="4">
        <v>0.3</v>
      </c>
      <c r="BC92" s="4">
        <v>0.3</v>
      </c>
      <c r="BD92" s="4">
        <v>0.3</v>
      </c>
      <c r="BE92" s="4">
        <v>0.3</v>
      </c>
      <c r="BF92" s="4">
        <v>0.3</v>
      </c>
      <c r="BG92" s="4">
        <v>0.3</v>
      </c>
      <c r="BH92" s="4">
        <v>0.3</v>
      </c>
      <c r="BI92" s="4">
        <v>0.3</v>
      </c>
      <c r="BJ92" s="4">
        <v>0.3</v>
      </c>
      <c r="BK92" s="4">
        <v>0.3</v>
      </c>
      <c r="BL92" s="4">
        <v>0.3</v>
      </c>
      <c r="BM92" s="4">
        <v>0.3</v>
      </c>
      <c r="BN92" s="4">
        <v>0.3</v>
      </c>
      <c r="BO92" s="4">
        <v>0.3</v>
      </c>
      <c r="BP92" s="4">
        <v>0.3</v>
      </c>
      <c r="BQ92" s="4">
        <v>0.3</v>
      </c>
      <c r="BR92" s="4">
        <v>0.3</v>
      </c>
      <c r="BS92" s="4">
        <v>0.3</v>
      </c>
      <c r="BT92" s="4">
        <v>0.3</v>
      </c>
      <c r="BU92" s="4">
        <v>0.3</v>
      </c>
      <c r="BV92" s="4">
        <v>0.3</v>
      </c>
      <c r="BW92" s="15">
        <v>0.3</v>
      </c>
      <c r="BX92" s="15">
        <v>0.3</v>
      </c>
      <c r="BY92" s="15">
        <v>0.3</v>
      </c>
      <c r="BZ92" s="15">
        <v>0.3</v>
      </c>
      <c r="CA92" s="15">
        <v>0.3</v>
      </c>
      <c r="CB92" s="15">
        <v>0.3</v>
      </c>
      <c r="CC92" s="15">
        <v>0.3</v>
      </c>
      <c r="CD92" s="15">
        <v>0.3</v>
      </c>
      <c r="CE92" s="15">
        <v>0.3</v>
      </c>
      <c r="CF92" s="15">
        <v>0.3</v>
      </c>
      <c r="CG92" s="15">
        <v>0.3</v>
      </c>
    </row>
    <row r="93" spans="1:85" x14ac:dyDescent="0.3">
      <c r="A93" t="s">
        <v>131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5">
        <v>0</v>
      </c>
    </row>
    <row r="94" spans="1:85" x14ac:dyDescent="0.3">
      <c r="A94" t="s">
        <v>132</v>
      </c>
      <c r="B94" s="4">
        <v>0.25</v>
      </c>
      <c r="C94" s="4">
        <v>0.25</v>
      </c>
      <c r="D94" s="4">
        <v>0.25</v>
      </c>
      <c r="E94" s="4">
        <v>0.25</v>
      </c>
      <c r="F94" s="4">
        <v>0.25</v>
      </c>
      <c r="G94" s="4">
        <v>0.25</v>
      </c>
      <c r="H94" s="4">
        <v>0.25</v>
      </c>
      <c r="I94" s="4">
        <v>0.25</v>
      </c>
      <c r="J94" s="4">
        <v>0.25</v>
      </c>
      <c r="K94" s="4">
        <v>0.25</v>
      </c>
      <c r="L94" s="4">
        <v>0.25</v>
      </c>
      <c r="M94" s="4">
        <v>0.25</v>
      </c>
      <c r="N94" s="4">
        <v>0.25</v>
      </c>
      <c r="O94" s="4">
        <v>0.25</v>
      </c>
      <c r="P94" s="4">
        <v>0.25</v>
      </c>
      <c r="Q94" s="4">
        <v>0.25</v>
      </c>
      <c r="R94" s="4">
        <v>0.25</v>
      </c>
      <c r="S94" s="4">
        <v>0.25</v>
      </c>
      <c r="T94" s="4">
        <v>0.25</v>
      </c>
      <c r="U94" s="4">
        <v>0.25</v>
      </c>
      <c r="V94" s="4">
        <v>0.25</v>
      </c>
      <c r="W94" s="4">
        <v>0.25</v>
      </c>
      <c r="X94" s="4">
        <v>0.25</v>
      </c>
      <c r="Y94" s="4">
        <v>0.25</v>
      </c>
      <c r="Z94" s="4">
        <v>0.25</v>
      </c>
      <c r="AA94" s="4">
        <v>0.25</v>
      </c>
      <c r="AB94" s="4">
        <v>0.25</v>
      </c>
      <c r="AC94" s="4">
        <v>0.25</v>
      </c>
      <c r="AD94" s="4">
        <v>0.25</v>
      </c>
      <c r="AE94" s="4">
        <v>0.25</v>
      </c>
      <c r="AF94" s="4">
        <v>0.25</v>
      </c>
      <c r="AG94" s="4">
        <v>0.25</v>
      </c>
      <c r="AH94" s="4">
        <v>0.25</v>
      </c>
      <c r="AI94" s="4">
        <v>0.25</v>
      </c>
      <c r="AJ94" s="4">
        <v>0.25</v>
      </c>
      <c r="AK94" s="4">
        <v>0.25</v>
      </c>
      <c r="AL94" s="4">
        <v>0.25</v>
      </c>
      <c r="AM94" s="4">
        <v>0.25</v>
      </c>
      <c r="AN94" s="4">
        <v>0.25</v>
      </c>
      <c r="AO94" s="4">
        <v>0.25</v>
      </c>
      <c r="AP94" s="4">
        <v>0.25</v>
      </c>
      <c r="AQ94" s="4">
        <v>0.25</v>
      </c>
      <c r="AR94" s="4">
        <v>0.25</v>
      </c>
      <c r="AS94" s="4">
        <v>0.25</v>
      </c>
      <c r="AT94" s="4">
        <v>0.25</v>
      </c>
      <c r="AU94" s="4">
        <v>0.25</v>
      </c>
      <c r="AV94" s="4">
        <v>0.25</v>
      </c>
      <c r="AW94" s="4">
        <v>0.25</v>
      </c>
      <c r="AX94" s="4">
        <v>0.25</v>
      </c>
      <c r="AY94" s="4">
        <v>0.25</v>
      </c>
      <c r="AZ94" s="4">
        <v>0.25</v>
      </c>
      <c r="BA94" s="4">
        <v>0.25</v>
      </c>
      <c r="BB94" s="4">
        <v>0.25</v>
      </c>
      <c r="BC94" s="4">
        <v>0.25</v>
      </c>
      <c r="BD94" s="4">
        <v>0.25</v>
      </c>
      <c r="BE94" s="4">
        <v>0.25</v>
      </c>
      <c r="BF94" s="4">
        <v>0.25</v>
      </c>
      <c r="BG94" s="4">
        <v>0.25</v>
      </c>
      <c r="BH94" s="4">
        <v>0.25</v>
      </c>
      <c r="BI94" s="4">
        <v>0.25</v>
      </c>
      <c r="BJ94" s="4">
        <v>0.25</v>
      </c>
      <c r="BK94" s="4">
        <v>0.25</v>
      </c>
      <c r="BL94" s="4">
        <v>0.25</v>
      </c>
      <c r="BM94" s="4">
        <v>0.25</v>
      </c>
      <c r="BN94" s="4">
        <v>0.25</v>
      </c>
      <c r="BO94" s="4">
        <v>0.25</v>
      </c>
      <c r="BP94" s="4">
        <v>0.25</v>
      </c>
      <c r="BQ94" s="4">
        <v>0.25</v>
      </c>
      <c r="BR94" s="4">
        <v>0.25</v>
      </c>
      <c r="BS94" s="4">
        <v>0.25</v>
      </c>
      <c r="BT94" s="4">
        <v>0.25</v>
      </c>
      <c r="BU94" s="4">
        <v>0.25</v>
      </c>
      <c r="BV94" s="4">
        <v>0.25</v>
      </c>
      <c r="BW94" s="15">
        <v>0.25</v>
      </c>
      <c r="BX94" s="15">
        <v>0.25</v>
      </c>
      <c r="BY94" s="15">
        <v>0.25</v>
      </c>
      <c r="BZ94" s="15">
        <v>0.25</v>
      </c>
      <c r="CA94" s="15">
        <v>0.25</v>
      </c>
      <c r="CB94" s="15">
        <v>0.25</v>
      </c>
      <c r="CC94" s="15">
        <v>0.25</v>
      </c>
      <c r="CD94" s="15">
        <v>0.25</v>
      </c>
      <c r="CE94" s="15">
        <v>0.25</v>
      </c>
      <c r="CF94" s="15">
        <v>0.25</v>
      </c>
      <c r="CG94" s="15">
        <v>0.25</v>
      </c>
    </row>
    <row r="95" spans="1:85" x14ac:dyDescent="0.3">
      <c r="A95" t="s">
        <v>133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5">
        <v>0</v>
      </c>
    </row>
    <row r="96" spans="1:85" x14ac:dyDescent="0.3">
      <c r="A96" t="s">
        <v>134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  <c r="CB96" s="15">
        <v>0</v>
      </c>
      <c r="CC96" s="15">
        <v>0</v>
      </c>
      <c r="CD96" s="15">
        <v>0</v>
      </c>
      <c r="CE96" s="15">
        <v>0</v>
      </c>
      <c r="CF96" s="15">
        <v>0</v>
      </c>
      <c r="CG96" s="15">
        <v>0</v>
      </c>
    </row>
    <row r="97" spans="1:85" x14ac:dyDescent="0.3">
      <c r="A97" t="s">
        <v>135</v>
      </c>
      <c r="B97" s="4">
        <v>0.25</v>
      </c>
      <c r="C97" s="4">
        <v>0.25</v>
      </c>
      <c r="D97" s="4">
        <v>0.25</v>
      </c>
      <c r="E97" s="4">
        <v>0.25</v>
      </c>
      <c r="F97" s="4">
        <v>0.25</v>
      </c>
      <c r="G97" s="4">
        <v>0.25</v>
      </c>
      <c r="H97" s="4">
        <v>0.25</v>
      </c>
      <c r="I97" s="4">
        <v>0.25</v>
      </c>
      <c r="J97" s="4">
        <v>0.25</v>
      </c>
      <c r="K97" s="4">
        <v>0.25</v>
      </c>
      <c r="L97" s="4">
        <v>0.25</v>
      </c>
      <c r="M97" s="4">
        <v>0.25</v>
      </c>
      <c r="N97" s="4">
        <v>0.25</v>
      </c>
      <c r="O97" s="4">
        <v>0.25</v>
      </c>
      <c r="P97" s="4">
        <v>0.25</v>
      </c>
      <c r="Q97" s="4">
        <v>0.25</v>
      </c>
      <c r="R97" s="4">
        <v>0.25</v>
      </c>
      <c r="S97" s="4">
        <v>0.25</v>
      </c>
      <c r="T97" s="4">
        <v>0.25</v>
      </c>
      <c r="U97" s="4">
        <v>0.25</v>
      </c>
      <c r="V97" s="4">
        <v>0.25</v>
      </c>
      <c r="W97" s="4">
        <v>0.25</v>
      </c>
      <c r="X97" s="4">
        <v>0.25</v>
      </c>
      <c r="Y97" s="4">
        <v>0.25</v>
      </c>
      <c r="Z97" s="4">
        <v>0.25</v>
      </c>
      <c r="AA97" s="4">
        <v>0.25</v>
      </c>
      <c r="AB97" s="4">
        <v>0.25</v>
      </c>
      <c r="AC97" s="4">
        <v>0.25</v>
      </c>
      <c r="AD97" s="4">
        <v>0.25</v>
      </c>
      <c r="AE97" s="4">
        <v>0.25</v>
      </c>
      <c r="AF97" s="4">
        <v>0.25</v>
      </c>
      <c r="AG97" s="4">
        <v>0.25</v>
      </c>
      <c r="AH97" s="4">
        <v>0.25</v>
      </c>
      <c r="AI97" s="4">
        <v>0.25</v>
      </c>
      <c r="AJ97" s="4">
        <v>0.25</v>
      </c>
      <c r="AK97" s="4">
        <v>0.25</v>
      </c>
      <c r="AL97" s="4">
        <v>0.25</v>
      </c>
      <c r="AM97" s="4">
        <v>0.25</v>
      </c>
      <c r="AN97" s="4">
        <v>0.25</v>
      </c>
      <c r="AO97" s="4">
        <v>0.25</v>
      </c>
      <c r="AP97" s="4">
        <v>0.25</v>
      </c>
      <c r="AQ97" s="4">
        <v>0.25</v>
      </c>
      <c r="AR97" s="4">
        <v>0.25</v>
      </c>
      <c r="AS97" s="4">
        <v>0.25</v>
      </c>
      <c r="AT97" s="4">
        <v>0.25</v>
      </c>
      <c r="AU97" s="4">
        <v>0.25</v>
      </c>
      <c r="AV97" s="4">
        <v>0.25</v>
      </c>
      <c r="AW97" s="4">
        <v>0.25</v>
      </c>
      <c r="AX97" s="4">
        <v>0.25</v>
      </c>
      <c r="AY97" s="4">
        <v>0.25</v>
      </c>
      <c r="AZ97" s="4">
        <v>0.25</v>
      </c>
      <c r="BA97" s="4">
        <v>0.25</v>
      </c>
      <c r="BB97" s="4">
        <v>0.25</v>
      </c>
      <c r="BC97" s="4">
        <v>0.25</v>
      </c>
      <c r="BD97" s="4">
        <v>0.25</v>
      </c>
      <c r="BE97" s="4">
        <v>0.25</v>
      </c>
      <c r="BF97" s="4">
        <v>0.25</v>
      </c>
      <c r="BG97" s="4">
        <v>0.25</v>
      </c>
      <c r="BH97" s="4">
        <v>0.25</v>
      </c>
      <c r="BI97" s="4">
        <v>0.25</v>
      </c>
      <c r="BJ97" s="4">
        <v>0.25</v>
      </c>
      <c r="BK97" s="4">
        <v>0.25</v>
      </c>
      <c r="BL97" s="4">
        <v>0.25</v>
      </c>
      <c r="BM97" s="4">
        <v>0.25</v>
      </c>
      <c r="BN97" s="4">
        <v>0.25</v>
      </c>
      <c r="BO97" s="4">
        <v>0.25</v>
      </c>
      <c r="BP97" s="4">
        <v>0.25</v>
      </c>
      <c r="BQ97" s="4">
        <v>0.25</v>
      </c>
      <c r="BR97" s="4">
        <v>0.25</v>
      </c>
      <c r="BS97" s="4">
        <v>0.25</v>
      </c>
      <c r="BT97" s="4">
        <v>0.25</v>
      </c>
      <c r="BU97" s="4">
        <v>0.25</v>
      </c>
      <c r="BV97" s="4">
        <v>0.25</v>
      </c>
      <c r="BW97" s="15">
        <v>0.25</v>
      </c>
      <c r="BX97" s="15">
        <v>0.25</v>
      </c>
      <c r="BY97" s="15">
        <v>0.25</v>
      </c>
      <c r="BZ97" s="15">
        <v>0.25</v>
      </c>
      <c r="CA97" s="15">
        <v>0.25</v>
      </c>
      <c r="CB97" s="15">
        <v>0.25</v>
      </c>
      <c r="CC97" s="15">
        <v>0.25</v>
      </c>
      <c r="CD97" s="15">
        <v>0.25</v>
      </c>
      <c r="CE97" s="15">
        <v>0.25</v>
      </c>
      <c r="CF97" s="15">
        <v>0.25</v>
      </c>
      <c r="CG97" s="15">
        <v>0.25</v>
      </c>
    </row>
    <row r="98" spans="1:85" x14ac:dyDescent="0.3">
      <c r="A98" t="s">
        <v>136</v>
      </c>
      <c r="B98">
        <v>1.585</v>
      </c>
      <c r="C98">
        <v>1.585</v>
      </c>
      <c r="D98">
        <v>1.585</v>
      </c>
      <c r="E98">
        <v>1.585</v>
      </c>
      <c r="F98">
        <v>1.585</v>
      </c>
      <c r="G98">
        <v>1.585</v>
      </c>
      <c r="H98">
        <v>1.585</v>
      </c>
      <c r="I98">
        <v>1.585</v>
      </c>
      <c r="J98">
        <v>1.585</v>
      </c>
      <c r="K98">
        <v>1.585</v>
      </c>
      <c r="L98">
        <v>1.585</v>
      </c>
      <c r="M98">
        <v>1.585</v>
      </c>
      <c r="N98">
        <v>2.4</v>
      </c>
      <c r="O98">
        <v>2.4</v>
      </c>
      <c r="P98">
        <v>2.4</v>
      </c>
      <c r="Q98">
        <v>2.4</v>
      </c>
      <c r="R98">
        <v>2.4</v>
      </c>
      <c r="S98">
        <v>2.4</v>
      </c>
      <c r="T98">
        <v>2.4</v>
      </c>
      <c r="U98">
        <v>2.4</v>
      </c>
      <c r="V98">
        <v>2.4</v>
      </c>
      <c r="W98">
        <v>2.4</v>
      </c>
      <c r="X98">
        <v>2.4</v>
      </c>
      <c r="Y98">
        <v>2.4</v>
      </c>
      <c r="Z98">
        <v>2.4</v>
      </c>
      <c r="AA98">
        <v>2.4</v>
      </c>
      <c r="AB98">
        <v>2.4</v>
      </c>
      <c r="AC98">
        <v>2.7869999999999999</v>
      </c>
      <c r="AD98">
        <v>2.7869999999999999</v>
      </c>
      <c r="AE98">
        <v>2.7869999999999999</v>
      </c>
      <c r="AF98">
        <v>2.7869999999999999</v>
      </c>
      <c r="AG98">
        <v>2.7869999999999999</v>
      </c>
      <c r="AH98">
        <v>2.7869999999999999</v>
      </c>
      <c r="AI98">
        <v>2.7869999999999999</v>
      </c>
      <c r="AJ98">
        <v>2.7869999999999999</v>
      </c>
      <c r="AK98">
        <v>2.7869999999999999</v>
      </c>
      <c r="AL98">
        <v>2.7869999999999999</v>
      </c>
      <c r="AM98">
        <v>2.7869999999999999</v>
      </c>
      <c r="AN98">
        <v>2.7869999999999999</v>
      </c>
      <c r="AO98">
        <v>2.7869999999999999</v>
      </c>
      <c r="AP98">
        <v>2.7869999999999999</v>
      </c>
      <c r="AQ98">
        <v>2.7869999999999999</v>
      </c>
      <c r="AR98">
        <v>9.8000000000000007</v>
      </c>
      <c r="AS98">
        <v>9.8000000000000007</v>
      </c>
      <c r="AT98">
        <v>9.8000000000000007</v>
      </c>
      <c r="AU98">
        <v>9.8000000000000007</v>
      </c>
      <c r="AV98">
        <v>9.8000000000000007</v>
      </c>
      <c r="AW98">
        <v>9.8000000000000007</v>
      </c>
      <c r="AX98">
        <v>9.8000000000000007</v>
      </c>
      <c r="AY98">
        <v>9.8000000000000007</v>
      </c>
      <c r="AZ98">
        <v>9.8000000000000007</v>
      </c>
      <c r="BA98">
        <v>9.8000000000000007</v>
      </c>
      <c r="BB98">
        <v>9.8000000000000007</v>
      </c>
      <c r="BC98">
        <v>9.8000000000000007</v>
      </c>
      <c r="BD98">
        <v>9.8000000000000007</v>
      </c>
      <c r="BE98">
        <v>9.8000000000000007</v>
      </c>
      <c r="BF98">
        <v>9.8000000000000007</v>
      </c>
      <c r="BG98">
        <v>9.8000000000000007</v>
      </c>
      <c r="BH98">
        <v>9.8000000000000007</v>
      </c>
      <c r="BI98">
        <v>9.8000000000000007</v>
      </c>
      <c r="BJ98" s="9">
        <v>6.8</v>
      </c>
      <c r="BK98" s="9">
        <v>6.8</v>
      </c>
      <c r="BL98" s="9">
        <v>6.8</v>
      </c>
      <c r="BM98" s="9">
        <v>6.8</v>
      </c>
      <c r="BN98" s="9">
        <v>6.8</v>
      </c>
      <c r="BO98" s="9">
        <v>6.8</v>
      </c>
      <c r="BP98" s="17">
        <v>6.8</v>
      </c>
      <c r="BQ98" s="17">
        <v>6.8</v>
      </c>
      <c r="BR98" s="17">
        <v>6.8</v>
      </c>
      <c r="BS98" s="17">
        <v>6.8</v>
      </c>
      <c r="BT98" s="17">
        <v>6.8</v>
      </c>
      <c r="BU98" s="17">
        <v>6.8</v>
      </c>
      <c r="BV98">
        <v>4.84</v>
      </c>
      <c r="BW98" s="13">
        <v>4.84</v>
      </c>
      <c r="BX98" s="13">
        <v>4.84</v>
      </c>
      <c r="BY98" s="13">
        <v>4.84</v>
      </c>
      <c r="BZ98" s="13">
        <v>4.84</v>
      </c>
      <c r="CA98" s="13">
        <v>4.84</v>
      </c>
      <c r="CB98" s="13">
        <v>4.84</v>
      </c>
      <c r="CC98" s="13">
        <v>4.84</v>
      </c>
      <c r="CD98" s="13">
        <v>4.84</v>
      </c>
      <c r="CE98" s="13">
        <v>4.84</v>
      </c>
      <c r="CF98" s="13">
        <v>4.84</v>
      </c>
      <c r="CG98" s="13">
        <v>4.84</v>
      </c>
    </row>
    <row r="99" spans="1:85" x14ac:dyDescent="0.3">
      <c r="A99" t="s">
        <v>137</v>
      </c>
      <c r="B99">
        <v>1.885</v>
      </c>
      <c r="C99">
        <v>1.885</v>
      </c>
      <c r="D99">
        <v>1.885</v>
      </c>
      <c r="E99">
        <v>1.885</v>
      </c>
      <c r="F99">
        <v>1.885</v>
      </c>
      <c r="G99">
        <v>1.885</v>
      </c>
      <c r="H99">
        <v>1.885</v>
      </c>
      <c r="I99">
        <v>1.885</v>
      </c>
      <c r="J99">
        <v>1.885</v>
      </c>
      <c r="K99">
        <v>1.885</v>
      </c>
      <c r="L99">
        <v>1.885</v>
      </c>
      <c r="M99">
        <v>1.885</v>
      </c>
      <c r="N99">
        <v>2.72</v>
      </c>
      <c r="O99">
        <v>2.72</v>
      </c>
      <c r="P99">
        <v>2.72</v>
      </c>
      <c r="Q99">
        <v>2.72</v>
      </c>
      <c r="R99">
        <v>2.72</v>
      </c>
      <c r="S99">
        <v>2.72</v>
      </c>
      <c r="T99">
        <v>2.72</v>
      </c>
      <c r="U99">
        <v>2.72</v>
      </c>
      <c r="V99">
        <v>2.72</v>
      </c>
      <c r="W99">
        <v>2.72</v>
      </c>
      <c r="X99">
        <v>2.72</v>
      </c>
      <c r="Y99">
        <v>2.72</v>
      </c>
      <c r="Z99">
        <v>2.72</v>
      </c>
      <c r="AA99">
        <v>2.72</v>
      </c>
      <c r="AB99">
        <v>2.72</v>
      </c>
      <c r="AC99">
        <v>3.012</v>
      </c>
      <c r="AD99">
        <v>3.012</v>
      </c>
      <c r="AE99">
        <v>3.012</v>
      </c>
      <c r="AF99">
        <v>3.012</v>
      </c>
      <c r="AG99">
        <v>3.012</v>
      </c>
      <c r="AH99">
        <v>3.012</v>
      </c>
      <c r="AI99">
        <v>3.012</v>
      </c>
      <c r="AJ99">
        <v>3.012</v>
      </c>
      <c r="AK99">
        <v>3.012</v>
      </c>
      <c r="AL99" s="9">
        <v>3.012</v>
      </c>
      <c r="AM99" s="9">
        <v>3.012</v>
      </c>
      <c r="AN99" s="9">
        <v>3.012</v>
      </c>
      <c r="AO99" s="9">
        <v>3.012</v>
      </c>
      <c r="AP99" s="9">
        <v>3.012</v>
      </c>
      <c r="AQ99" s="9">
        <v>3.012</v>
      </c>
      <c r="AR99" s="9">
        <v>10.42</v>
      </c>
      <c r="AS99" s="9">
        <v>10.42</v>
      </c>
      <c r="AT99" s="9">
        <v>10.42</v>
      </c>
      <c r="AU99" s="9">
        <v>10.42</v>
      </c>
      <c r="AV99" s="9">
        <v>10.42</v>
      </c>
      <c r="AW99" s="9">
        <v>10.42</v>
      </c>
      <c r="AX99" s="9">
        <v>10.42</v>
      </c>
      <c r="AY99" s="9">
        <v>10.42</v>
      </c>
      <c r="AZ99" s="9">
        <v>10.42</v>
      </c>
      <c r="BA99" s="9">
        <v>10.42</v>
      </c>
      <c r="BB99" s="9">
        <v>10.42</v>
      </c>
      <c r="BC99" s="9">
        <v>10.42</v>
      </c>
      <c r="BD99" s="9">
        <v>10.42</v>
      </c>
      <c r="BE99" s="9">
        <v>10.42</v>
      </c>
      <c r="BF99" s="9">
        <v>10.42</v>
      </c>
      <c r="BG99" s="9">
        <v>10.42</v>
      </c>
      <c r="BH99" s="9">
        <v>10.42</v>
      </c>
      <c r="BI99" s="9">
        <v>10.42</v>
      </c>
      <c r="BJ99" s="9">
        <v>6.8</v>
      </c>
      <c r="BK99" s="9">
        <v>6.8</v>
      </c>
      <c r="BL99" s="9">
        <v>6.8</v>
      </c>
      <c r="BM99" s="9">
        <v>6.8</v>
      </c>
      <c r="BN99" s="9">
        <v>6.8</v>
      </c>
      <c r="BO99" s="9">
        <v>6.8</v>
      </c>
      <c r="BP99" s="17">
        <v>6.8</v>
      </c>
      <c r="BQ99" s="17">
        <v>6.8</v>
      </c>
      <c r="BR99" s="17">
        <v>6.8</v>
      </c>
      <c r="BS99" s="17">
        <v>6.8</v>
      </c>
      <c r="BT99" s="17">
        <v>6.8</v>
      </c>
      <c r="BU99" s="17">
        <v>6.8</v>
      </c>
      <c r="BV99">
        <v>4.84</v>
      </c>
      <c r="BW99" s="13">
        <v>4.84</v>
      </c>
      <c r="BX99" s="13">
        <v>4.84</v>
      </c>
      <c r="BY99" s="13">
        <v>4.84</v>
      </c>
      <c r="BZ99" s="13">
        <v>4.84</v>
      </c>
      <c r="CA99" s="13">
        <v>4.84</v>
      </c>
      <c r="CB99" s="13">
        <v>4.84</v>
      </c>
      <c r="CC99" s="13">
        <v>4.84</v>
      </c>
      <c r="CD99" s="13">
        <v>4.84</v>
      </c>
      <c r="CE99" s="13">
        <v>4.84</v>
      </c>
      <c r="CF99" s="13">
        <v>4.84</v>
      </c>
      <c r="CG99" s="13">
        <v>4.84</v>
      </c>
    </row>
    <row r="101" spans="1:85" x14ac:dyDescent="0.3">
      <c r="BJ101" t="s">
        <v>1</v>
      </c>
    </row>
    <row r="102" spans="1:85" x14ac:dyDescent="0.3">
      <c r="BJ102" t="s">
        <v>2</v>
      </c>
      <c r="BV102" t="s">
        <v>5</v>
      </c>
    </row>
    <row r="103" spans="1:85" x14ac:dyDescent="0.3">
      <c r="BJ103" t="s">
        <v>3</v>
      </c>
      <c r="BV103" t="s">
        <v>6</v>
      </c>
    </row>
    <row r="104" spans="1:85" x14ac:dyDescent="0.3">
      <c r="BJ104" t="s">
        <v>4</v>
      </c>
    </row>
  </sheetData>
  <pageMargins left="0.7" right="0.7" top="0.75" bottom="0.75" header="0.3" footer="0.3"/>
  <pageSetup paperSize="9" orientation="portrait" verticalDpi="0" r:id="rId1"/>
  <customProperties>
    <customPr name="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F159-380E-43CF-8D37-4F7A7AA35275}">
  <dimension ref="A1:J94"/>
  <sheetViews>
    <sheetView zoomScale="70" zoomScaleNormal="70" workbookViewId="0">
      <selection activeCell="F12" sqref="F12"/>
    </sheetView>
  </sheetViews>
  <sheetFormatPr defaultRowHeight="14.4" x14ac:dyDescent="0.3"/>
  <cols>
    <col min="1" max="1" width="70.109375" customWidth="1"/>
    <col min="2" max="2" width="12.6640625" bestFit="1" customWidth="1"/>
    <col min="3" max="3" width="10.77734375" customWidth="1"/>
    <col min="4" max="4" width="24.21875" customWidth="1"/>
    <col min="5" max="5" width="24.21875" style="30" customWidth="1"/>
    <col min="6" max="6" width="46.5546875" customWidth="1"/>
    <col min="7" max="7" width="13.88671875" customWidth="1"/>
    <col min="8" max="8" width="28.109375" customWidth="1"/>
    <col min="9" max="9" width="29.5546875" customWidth="1"/>
    <col min="10" max="10" width="33.88671875" bestFit="1" customWidth="1"/>
    <col min="11" max="11" width="29" customWidth="1"/>
    <col min="12" max="12" width="25.44140625" customWidth="1"/>
  </cols>
  <sheetData>
    <row r="1" spans="1:10" s="104" customFormat="1" ht="34.200000000000003" customHeight="1" thickBot="1" x14ac:dyDescent="0.35">
      <c r="A1" s="101" t="s">
        <v>31</v>
      </c>
      <c r="B1" s="102"/>
      <c r="C1" s="102" t="s">
        <v>23</v>
      </c>
      <c r="D1" s="102" t="s">
        <v>7</v>
      </c>
      <c r="E1" s="103" t="s">
        <v>17</v>
      </c>
      <c r="F1" s="102" t="s">
        <v>8</v>
      </c>
      <c r="G1" s="102" t="s">
        <v>29</v>
      </c>
      <c r="H1" s="102" t="s">
        <v>11</v>
      </c>
      <c r="I1" s="102" t="s">
        <v>9</v>
      </c>
      <c r="J1" s="102" t="s">
        <v>12</v>
      </c>
    </row>
    <row r="2" spans="1:10" ht="17.399999999999999" x14ac:dyDescent="0.35">
      <c r="A2" s="55" t="s">
        <v>86</v>
      </c>
      <c r="C2" s="22">
        <v>1</v>
      </c>
      <c r="D2" s="20">
        <v>43466</v>
      </c>
      <c r="E2" s="29">
        <f>YEAR(D2)</f>
        <v>2019</v>
      </c>
      <c r="F2" s="21">
        <f>INDEX(Fees!$B$2:$CG$99, MATCH(Calculator!$A$2,Fees!$A$2:$A$99,0), MATCH(Calculator!D2,Fees!$B$1:$CG$1,0))</f>
        <v>2.2599999999999998</v>
      </c>
      <c r="G2" s="28" t="str">
        <f>IF(AND(F2&gt;0, ISNUMBER(C2)), "✅", "❌")</f>
        <v>✅</v>
      </c>
      <c r="H2" s="46">
        <v>46023</v>
      </c>
      <c r="I2" cm="1">
        <f t="array" ref="I2">IF(COUNT(F$2:F$1048576)=1, "",
    _xlfn.LET(
        _xlpm.HistDates, _xlfn._xlws.FILTER($D$2:$D$1000, ($F$2:$F$1000&gt;0)),
        _xlpm.HistFees, _xlfn._xlws.FILTER($F$2:$F$1000, ($F$2:$F$1000&gt;0)),
        IF(COUNTA(_xlpm.HistDates)&lt;2, "",
            _xlfn.FORECAST.ETS(H2, _xlpm.HistFees, _xlpm.HistDates)
        )
    )
)</f>
        <v>3.850989010989013</v>
      </c>
      <c r="J2" s="47">
        <f>I2*(1+$A$4)</f>
        <v>3.850989010989013</v>
      </c>
    </row>
    <row r="3" spans="1:10" x14ac:dyDescent="0.3">
      <c r="A3" s="19" t="s">
        <v>10</v>
      </c>
      <c r="C3" s="22">
        <v>2</v>
      </c>
      <c r="D3" s="20">
        <f t="shared" ref="D3:D37" si="0">EDATE(D2,1)</f>
        <v>43497</v>
      </c>
      <c r="E3" s="29">
        <f t="shared" ref="E3:E66" si="1">YEAR(D3)</f>
        <v>2019</v>
      </c>
      <c r="F3" s="21">
        <f>INDEX(Fees!$B$2:$CG$99, MATCH(Calculator!$A$2,Fees!$A$2:$A$99,0), MATCH(Calculator!D3,Fees!$B$1:$CG$1,0))</f>
        <v>2.2599999999999998</v>
      </c>
      <c r="G3" s="28" t="str">
        <f t="shared" ref="G3:G66" si="2">IF(AND(F3&gt;0, ISNUMBER(C3)), "✅", "❌")</f>
        <v>✅</v>
      </c>
      <c r="H3" s="48">
        <v>46054</v>
      </c>
      <c r="I3" cm="1">
        <f t="array" ref="I3">IF(COUNT(F$2:F$1048576)=1, "",
    _xlfn.LET(
        _xlpm.HistDates, _xlfn._xlws.FILTER($D$2:$D$1000, ($F$2:$F$1000&gt;0)),
        _xlpm.HistFees, _xlfn._xlws.FILTER($F$2:$F$1000, ($F$2:$F$1000&gt;0)),
        IF(COUNTA(_xlpm.HistDates)&lt;2, "",
            _xlfn.FORECAST.ETS(H3, _xlpm.HistFees, _xlpm.HistDates)
        )
    )
)</f>
        <v>3.8718681318681343</v>
      </c>
      <c r="J3" s="49">
        <f t="shared" ref="J3:J13" si="3">I3*(1+$A$4)</f>
        <v>3.8718681318681343</v>
      </c>
    </row>
    <row r="4" spans="1:10" x14ac:dyDescent="0.3">
      <c r="A4" s="23">
        <v>0</v>
      </c>
      <c r="C4" s="22">
        <v>3</v>
      </c>
      <c r="D4" s="20">
        <f t="shared" si="0"/>
        <v>43525</v>
      </c>
      <c r="E4" s="29">
        <f t="shared" si="1"/>
        <v>2019</v>
      </c>
      <c r="F4" s="21">
        <f>INDEX(Fees!$B$2:$CG$99, MATCH(Calculator!$A$2,Fees!$A$2:$A$99,0), MATCH(Calculator!D4,Fees!$B$1:$CG$1,0))</f>
        <v>2.2599999999999998</v>
      </c>
      <c r="G4" s="28" t="str">
        <f t="shared" si="2"/>
        <v>✅</v>
      </c>
      <c r="H4" s="48">
        <v>46082</v>
      </c>
      <c r="I4" cm="1">
        <f t="array" ref="I4">IF(COUNT(F$2:F$1048576)=1, "",
    _xlfn.LET(
        _xlpm.HistDates, _xlfn._xlws.FILTER($D$2:$D$1000, ($F$2:$F$1000&gt;0)),
        _xlpm.HistFees, _xlfn._xlws.FILTER($F$2:$F$1000, ($F$2:$F$1000&gt;0)),
        IF(COUNTA(_xlpm.HistDates)&lt;2, "",
            _xlfn.FORECAST.ETS(H4, _xlpm.HistFees, _xlpm.HistDates)
        )
    )
)</f>
        <v>3.8927472527472551</v>
      </c>
      <c r="J4" s="49">
        <f t="shared" si="3"/>
        <v>3.8927472527472551</v>
      </c>
    </row>
    <row r="5" spans="1:10" x14ac:dyDescent="0.3">
      <c r="C5" s="22">
        <v>4</v>
      </c>
      <c r="D5" s="20">
        <f t="shared" si="0"/>
        <v>43556</v>
      </c>
      <c r="E5" s="29">
        <f t="shared" si="1"/>
        <v>2019</v>
      </c>
      <c r="F5" s="21">
        <f>INDEX(Fees!$B$2:$CG$99, MATCH(Calculator!$A$2,Fees!$A$2:$A$99,0), MATCH(Calculator!D5,Fees!$B$1:$CG$1,0))</f>
        <v>2.2599999999999998</v>
      </c>
      <c r="G5" s="28" t="str">
        <f t="shared" si="2"/>
        <v>✅</v>
      </c>
      <c r="H5" s="48">
        <v>46113</v>
      </c>
      <c r="I5" cm="1">
        <f t="array" ref="I5">IF(COUNT(F$2:F$1048576)=1, "",
    _xlfn.LET(
        _xlpm.HistDates, _xlfn._xlws.FILTER($D$2:$D$1000, ($F$2:$F$1000&gt;0)),
        _xlpm.HistFees, _xlfn._xlws.FILTER($F$2:$F$1000, ($F$2:$F$1000&gt;0)),
        IF(COUNTA(_xlpm.HistDates)&lt;2, "",
            _xlfn.FORECAST.ETS(H5, _xlpm.HistFees, _xlpm.HistDates)
        )
    )
)</f>
        <v>3.9136263736263759</v>
      </c>
      <c r="J5" s="49">
        <f t="shared" si="3"/>
        <v>3.9136263736263759</v>
      </c>
    </row>
    <row r="6" spans="1:10" x14ac:dyDescent="0.3">
      <c r="C6" s="22">
        <v>5</v>
      </c>
      <c r="D6" s="20">
        <f t="shared" si="0"/>
        <v>43586</v>
      </c>
      <c r="E6" s="29">
        <f t="shared" si="1"/>
        <v>2019</v>
      </c>
      <c r="F6" s="21">
        <f>INDEX(Fees!$B$2:$CG$99, MATCH(Calculator!$A$2,Fees!$A$2:$A$99,0), MATCH(Calculator!D6,Fees!$B$1:$CG$1,0))</f>
        <v>2.2599999999999998</v>
      </c>
      <c r="G6" s="28" t="str">
        <f t="shared" si="2"/>
        <v>✅</v>
      </c>
      <c r="H6" s="48">
        <v>46143</v>
      </c>
      <c r="I6" cm="1">
        <f t="array" ref="I6">IF(COUNT(F$2:F$1048576)=1, "",
    _xlfn.LET(
        _xlpm.HistDates, _xlfn._xlws.FILTER($D$2:$D$1000, ($F$2:$F$1000&gt;0)),
        _xlpm.HistFees, _xlfn._xlws.FILTER($F$2:$F$1000, ($F$2:$F$1000&gt;0)),
        IF(COUNTA(_xlpm.HistDates)&lt;2, "",
            _xlfn.FORECAST.ETS(H6, _xlpm.HistFees, _xlpm.HistDates)
        )
    )
)</f>
        <v>3.9345054945054967</v>
      </c>
      <c r="J6" s="49">
        <f t="shared" si="3"/>
        <v>3.9345054945054967</v>
      </c>
    </row>
    <row r="7" spans="1:10" x14ac:dyDescent="0.3">
      <c r="A7" s="24" t="s">
        <v>13</v>
      </c>
      <c r="C7" s="22">
        <v>6</v>
      </c>
      <c r="D7" s="20">
        <f t="shared" si="0"/>
        <v>43617</v>
      </c>
      <c r="E7" s="29">
        <f t="shared" si="1"/>
        <v>2019</v>
      </c>
      <c r="F7" s="21">
        <f>INDEX(Fees!$B$2:$CG$99, MATCH(Calculator!$A$2,Fees!$A$2:$A$99,0), MATCH(Calculator!D7,Fees!$B$1:$CG$1,0))</f>
        <v>2.2599999999999998</v>
      </c>
      <c r="G7" s="28" t="str">
        <f t="shared" si="2"/>
        <v>✅</v>
      </c>
      <c r="H7" s="48">
        <v>46174</v>
      </c>
      <c r="I7" cm="1">
        <f t="array" ref="I7">IF(COUNT(F$2:F$1048576)=1, "",
    _xlfn.LET(
        _xlpm.HistDates, _xlfn._xlws.FILTER($D$2:$D$1000, ($F$2:$F$1000&gt;0)),
        _xlpm.HistFees, _xlfn._xlws.FILTER($F$2:$F$1000, ($F$2:$F$1000&gt;0)),
        IF(COUNTA(_xlpm.HistDates)&lt;2, "",
            _xlfn.FORECAST.ETS(H7, _xlpm.HistFees, _xlpm.HistDates)
        )
    )
)</f>
        <v>3.9553846153846175</v>
      </c>
      <c r="J7" s="49">
        <f t="shared" si="3"/>
        <v>3.9553846153846175</v>
      </c>
    </row>
    <row r="8" spans="1:10" ht="18" x14ac:dyDescent="0.35">
      <c r="A8" s="44">
        <f>IFERROR(AVERAGEIF(F74:F85, "&gt;0"),0)</f>
        <v>0</v>
      </c>
      <c r="C8" s="22">
        <v>7</v>
      </c>
      <c r="D8" s="20">
        <f t="shared" si="0"/>
        <v>43647</v>
      </c>
      <c r="E8" s="29">
        <f t="shared" si="1"/>
        <v>2019</v>
      </c>
      <c r="F8" s="21">
        <f>INDEX(Fees!$B$2:$CG$99, MATCH(Calculator!$A$2,Fees!$A$2:$A$99,0), MATCH(Calculator!D8,Fees!$B$1:$CG$1,0))</f>
        <v>2.2599999999999998</v>
      </c>
      <c r="G8" s="28" t="str">
        <f t="shared" si="2"/>
        <v>✅</v>
      </c>
      <c r="H8" s="48">
        <v>46204</v>
      </c>
      <c r="I8" cm="1">
        <f t="array" ref="I8">IF(COUNT(F$2:F$1048576)=1, "",
    _xlfn.LET(
        _xlpm.HistDates, _xlfn._xlws.FILTER($D$2:$D$1000, ($F$2:$F$1000&gt;0)),
        _xlpm.HistFees, _xlfn._xlws.FILTER($F$2:$F$1000, ($F$2:$F$1000&gt;0)),
        IF(COUNTA(_xlpm.HistDates)&lt;2, "",
            _xlfn.FORECAST.ETS(H8, _xlpm.HistFees, _xlpm.HistDates)
        )
    )
)</f>
        <v>3.9762637362637383</v>
      </c>
      <c r="J8" s="49">
        <f t="shared" si="3"/>
        <v>3.9762637362637383</v>
      </c>
    </row>
    <row r="9" spans="1:10" x14ac:dyDescent="0.3">
      <c r="A9" s="19" t="s">
        <v>14</v>
      </c>
      <c r="C9" s="22">
        <v>8</v>
      </c>
      <c r="D9" s="20">
        <f t="shared" si="0"/>
        <v>43678</v>
      </c>
      <c r="E9" s="29">
        <f t="shared" si="1"/>
        <v>2019</v>
      </c>
      <c r="F9" s="21">
        <f>INDEX(Fees!$B$2:$CG$99, MATCH(Calculator!$A$2,Fees!$A$2:$A$99,0), MATCH(Calculator!D9,Fees!$B$1:$CG$1,0))</f>
        <v>2.2599999999999998</v>
      </c>
      <c r="G9" s="28" t="str">
        <f t="shared" si="2"/>
        <v>✅</v>
      </c>
      <c r="H9" s="48">
        <v>46235</v>
      </c>
      <c r="I9" cm="1">
        <f t="array" ref="I9">IF(COUNT(F$2:F$1048576)=1, "",
    _xlfn.LET(
        _xlpm.HistDates, _xlfn._xlws.FILTER($D$2:$D$1000, ($F$2:$F$1000&gt;0)),
        _xlpm.HistFees, _xlfn._xlws.FILTER($F$2:$F$1000, ($F$2:$F$1000&gt;0)),
        IF(COUNTA(_xlpm.HistDates)&lt;2, "",
            _xlfn.FORECAST.ETS(H9, _xlpm.HistFees, _xlpm.HistDates)
        )
    )
)</f>
        <v>3.9971428571428591</v>
      </c>
      <c r="J9" s="49">
        <f t="shared" si="3"/>
        <v>3.9971428571428591</v>
      </c>
    </row>
    <row r="10" spans="1:10" ht="18" x14ac:dyDescent="0.35">
      <c r="A10" s="44">
        <f>AVERAGE(J2:J13)</f>
        <v>3.9658241758241779</v>
      </c>
      <c r="C10" s="22">
        <v>9</v>
      </c>
      <c r="D10" s="20">
        <f t="shared" si="0"/>
        <v>43709</v>
      </c>
      <c r="E10" s="29">
        <f t="shared" si="1"/>
        <v>2019</v>
      </c>
      <c r="F10" s="21">
        <f>INDEX(Fees!$B$2:$CG$99, MATCH(Calculator!$A$2,Fees!$A$2:$A$99,0), MATCH(Calculator!D10,Fees!$B$1:$CG$1,0))</f>
        <v>2.2599999999999998</v>
      </c>
      <c r="G10" s="28" t="str">
        <f t="shared" si="2"/>
        <v>✅</v>
      </c>
      <c r="H10" s="48">
        <v>46266</v>
      </c>
      <c r="I10" cm="1">
        <f t="array" ref="I10">IF(COUNT(F$2:F$1048576)=1, "",
    _xlfn.LET(
        _xlpm.HistDates, _xlfn._xlws.FILTER($D$2:$D$1000, ($F$2:$F$1000&gt;0)),
        _xlpm.HistFees, _xlfn._xlws.FILTER($F$2:$F$1000, ($F$2:$F$1000&gt;0)),
        IF(COUNTA(_xlpm.HistDates)&lt;2, "",
            _xlfn.FORECAST.ETS(H10, _xlpm.HistFees, _xlpm.HistDates)
        )
    )
)</f>
        <v>4.0180219780219808</v>
      </c>
      <c r="J10" s="49">
        <f t="shared" si="3"/>
        <v>4.0180219780219808</v>
      </c>
    </row>
    <row r="11" spans="1:10" x14ac:dyDescent="0.3">
      <c r="A11" s="24" t="s">
        <v>27</v>
      </c>
      <c r="C11" s="22">
        <v>10</v>
      </c>
      <c r="D11" s="20">
        <f t="shared" si="0"/>
        <v>43739</v>
      </c>
      <c r="E11" s="29">
        <f t="shared" si="1"/>
        <v>2019</v>
      </c>
      <c r="F11" s="21">
        <f>INDEX(Fees!$B$2:$CG$99, MATCH(Calculator!$A$2,Fees!$A$2:$A$99,0), MATCH(Calculator!D11,Fees!$B$1:$CG$1,0))</f>
        <v>2.2599999999999998</v>
      </c>
      <c r="G11" s="28" t="str">
        <f t="shared" si="2"/>
        <v>✅</v>
      </c>
      <c r="H11" s="48">
        <v>46296</v>
      </c>
      <c r="I11" cm="1">
        <f t="array" ref="I11">IF(COUNT(F$2:F$1048576)=1, "",
    _xlfn.LET(
        _xlpm.HistDates, _xlfn._xlws.FILTER($D$2:$D$1000, ($F$2:$F$1000&gt;0)),
        _xlpm.HistFees, _xlfn._xlws.FILTER($F$2:$F$1000, ($F$2:$F$1000&gt;0)),
        IF(COUNTA(_xlpm.HistDates)&lt;2, "",
            _xlfn.FORECAST.ETS(H11, _xlpm.HistFees, _xlpm.HistDates)
        )
    )
)</f>
        <v>4.0389010989011016</v>
      </c>
      <c r="J11" s="49">
        <f t="shared" si="3"/>
        <v>4.0389010989011016</v>
      </c>
    </row>
    <row r="12" spans="1:10" ht="18" x14ac:dyDescent="0.35">
      <c r="A12" s="58">
        <f>IF(A4&gt;0, I25+(I25*J25) + A4*(I25+(I25*J25)),I25+(I25*J25))</f>
        <v>2.7246312684365783</v>
      </c>
      <c r="C12" s="22">
        <v>11</v>
      </c>
      <c r="D12" s="20">
        <f t="shared" si="0"/>
        <v>43770</v>
      </c>
      <c r="E12" s="29">
        <f t="shared" si="1"/>
        <v>2019</v>
      </c>
      <c r="F12" s="21">
        <f>INDEX(Fees!$B$2:$CG$99, MATCH(Calculator!$A$2,Fees!$A$2:$A$99,0), MATCH(Calculator!D12,Fees!$B$1:$CG$1,0))</f>
        <v>2.2599999999999998</v>
      </c>
      <c r="G12" s="28" t="str">
        <f t="shared" si="2"/>
        <v>✅</v>
      </c>
      <c r="H12" s="48">
        <v>46327</v>
      </c>
      <c r="I12" cm="1">
        <f t="array" ref="I12">IF(COUNT(F$2:F$1048576)=1, "",
    _xlfn.LET(
        _xlpm.HistDates, _xlfn._xlws.FILTER($D$2:$D$1000, ($F$2:$F$1000&gt;0)),
        _xlpm.HistFees, _xlfn._xlws.FILTER($F$2:$F$1000, ($F$2:$F$1000&gt;0)),
        IF(COUNTA(_xlpm.HistDates)&lt;2, "",
            _xlfn.FORECAST.ETS(H12, _xlpm.HistFees, _xlpm.HistDates)
        )
    )
)</f>
        <v>4.0597802197802224</v>
      </c>
      <c r="J12" s="49">
        <f t="shared" si="3"/>
        <v>4.0597802197802224</v>
      </c>
    </row>
    <row r="13" spans="1:10" ht="15" thickBot="1" x14ac:dyDescent="0.35">
      <c r="A13" s="19" t="s">
        <v>22</v>
      </c>
      <c r="C13" s="22">
        <v>12</v>
      </c>
      <c r="D13" s="20">
        <f t="shared" si="0"/>
        <v>43800</v>
      </c>
      <c r="E13" s="29">
        <f t="shared" si="1"/>
        <v>2019</v>
      </c>
      <c r="F13" s="21">
        <f>INDEX(Fees!$B$2:$CG$99, MATCH(Calculator!$A$2,Fees!$A$2:$A$99,0), MATCH(Calculator!D13,Fees!$B$1:$CG$1,0))</f>
        <v>2.2599999999999998</v>
      </c>
      <c r="G13" s="28" t="str">
        <f t="shared" si="2"/>
        <v>✅</v>
      </c>
      <c r="H13" s="50">
        <v>46357</v>
      </c>
      <c r="I13" s="115" cm="1">
        <f t="array" ref="I13">IF(COUNT(F$2:F$1048576)=1, "",
    _xlfn.LET(
        _xlpm.HistDates, _xlfn._xlws.FILTER($D$2:$D$1000, ($F$2:$F$1000&gt;0)),
        _xlpm.HistFees, _xlfn._xlws.FILTER($F$2:$F$1000, ($F$2:$F$1000&gt;0)),
        IF(COUNTA(_xlpm.HistDates)&lt;2, "",
            _xlfn.FORECAST.ETS(H13, _xlpm.HistFees, _xlpm.HistDates)
        )
    )
)</f>
        <v>4.0806593406593432</v>
      </c>
      <c r="J13" s="51">
        <f t="shared" si="3"/>
        <v>4.0806593406593432</v>
      </c>
    </row>
    <row r="14" spans="1:10" ht="18.600000000000001" thickBot="1" x14ac:dyDescent="0.4">
      <c r="A14" s="44">
        <f>IF(A4&gt;0, AVERAGEIF(J31:J35, "&gt;0") + (A4 * AVERAGEIF(J31:J35, "&gt;0")), AVERAGEIF(J31:J35, "&gt;0"))</f>
        <v>2.5133333333333332</v>
      </c>
      <c r="C14" s="22">
        <v>13</v>
      </c>
      <c r="D14" s="20">
        <f t="shared" si="0"/>
        <v>43831</v>
      </c>
      <c r="E14" s="29">
        <f t="shared" si="1"/>
        <v>2020</v>
      </c>
      <c r="F14" s="21">
        <f>INDEX(Fees!$B$2:$CG$99, MATCH(Calculator!$A$2,Fees!$A$2:$A$99,0), MATCH(Calculator!D14,Fees!$B$1:$CG$1,0))</f>
        <v>2.64</v>
      </c>
      <c r="G14" s="28" t="str">
        <f t="shared" si="2"/>
        <v>✅</v>
      </c>
    </row>
    <row r="15" spans="1:10" x14ac:dyDescent="0.3">
      <c r="A15" s="36" t="s">
        <v>24</v>
      </c>
      <c r="B15" s="35"/>
      <c r="C15" s="22">
        <v>14</v>
      </c>
      <c r="D15" s="20">
        <f t="shared" si="0"/>
        <v>43862</v>
      </c>
      <c r="E15" s="29">
        <f t="shared" si="1"/>
        <v>2020</v>
      </c>
      <c r="F15" s="21">
        <f>INDEX(Fees!$B$2:$CG$99, MATCH(Calculator!$A$2,Fees!$A$2:$A$99,0), MATCH(Calculator!D15,Fees!$B$1:$CG$1,0))</f>
        <v>2.64</v>
      </c>
      <c r="G15" s="28" t="str">
        <f t="shared" si="2"/>
        <v>✅</v>
      </c>
      <c r="H15" s="108" t="s">
        <v>15</v>
      </c>
      <c r="I15" s="109"/>
      <c r="J15" s="110"/>
    </row>
    <row r="16" spans="1:10" ht="15" thickBot="1" x14ac:dyDescent="0.35">
      <c r="A16" s="31" t="s">
        <v>25</v>
      </c>
      <c r="B16" s="32" t="s">
        <v>26</v>
      </c>
      <c r="C16" s="22">
        <v>15</v>
      </c>
      <c r="D16" s="20">
        <f t="shared" si="0"/>
        <v>43891</v>
      </c>
      <c r="E16" s="29">
        <f t="shared" si="1"/>
        <v>2020</v>
      </c>
      <c r="F16" s="21">
        <f>INDEX(Fees!$B$2:$CG$99, MATCH(Calculator!$A$2,Fees!$A$2:$A$99,0), MATCH(Calculator!D16,Fees!$B$1:$CG$1,0))</f>
        <v>2.64</v>
      </c>
      <c r="G16" s="28" t="str">
        <f t="shared" si="2"/>
        <v>✅</v>
      </c>
      <c r="H16" s="105" t="s">
        <v>16</v>
      </c>
      <c r="I16" s="106"/>
      <c r="J16" s="107"/>
    </row>
    <row r="17" spans="1:10" ht="15" thickBot="1" x14ac:dyDescent="0.35">
      <c r="A17" s="37" cm="1">
        <f t="array" ref="A17:B17">LINEST(C2:C85,F2:F85)</f>
        <v>-16.548320055420835</v>
      </c>
      <c r="B17" s="38">
        <v>55.644094215448547</v>
      </c>
      <c r="C17" s="22">
        <v>16</v>
      </c>
      <c r="D17" s="20">
        <f t="shared" si="0"/>
        <v>43922</v>
      </c>
      <c r="E17" s="29">
        <f t="shared" si="1"/>
        <v>2020</v>
      </c>
      <c r="F17" s="21">
        <f>INDEX(Fees!$B$2:$CG$99, MATCH(Calculator!$A$2,Fees!$A$2:$A$99,0), MATCH(Calculator!D17,Fees!$B$1:$CG$1,0))</f>
        <v>2.64</v>
      </c>
      <c r="G17" s="28" t="str">
        <f t="shared" si="2"/>
        <v>✅</v>
      </c>
      <c r="H17" s="52" t="s">
        <v>17</v>
      </c>
      <c r="I17" s="53" t="s">
        <v>18</v>
      </c>
      <c r="J17" s="54" t="s">
        <v>19</v>
      </c>
    </row>
    <row r="18" spans="1:10" ht="15" thickBot="1" x14ac:dyDescent="0.35">
      <c r="A18" s="39" t="s">
        <v>28</v>
      </c>
      <c r="B18" s="40">
        <f>1-(A8/A10)</f>
        <v>1</v>
      </c>
      <c r="C18" s="22">
        <v>17</v>
      </c>
      <c r="D18" s="20">
        <f t="shared" si="0"/>
        <v>43952</v>
      </c>
      <c r="E18" s="29">
        <f t="shared" si="1"/>
        <v>2020</v>
      </c>
      <c r="F18" s="21">
        <f>INDEX(Fees!$B$2:$CG$99, MATCH(Calculator!$A$2,Fees!$A$2:$A$99,0), MATCH(Calculator!D18,Fees!$B$1:$CG$1,0))</f>
        <v>2.64</v>
      </c>
      <c r="G18" s="28" t="str">
        <f t="shared" si="2"/>
        <v>✅</v>
      </c>
      <c r="H18" s="33">
        <v>2019</v>
      </c>
      <c r="I18">
        <f>IF(COUNTIFS($E$2:$E$1000,H18,$F$2:$F$1000,"&gt;0")=0,"",AVERAGEIFS($F$2:$F$1000,$E$2:$E$1000,H18,$F$2:$F$1000,"&gt;0"))</f>
        <v>2.2599999999999993</v>
      </c>
      <c r="J18" s="25"/>
    </row>
    <row r="19" spans="1:10" x14ac:dyDescent="0.3">
      <c r="C19" s="22">
        <v>18</v>
      </c>
      <c r="D19" s="20">
        <f t="shared" si="0"/>
        <v>43983</v>
      </c>
      <c r="E19" s="29">
        <f t="shared" si="1"/>
        <v>2020</v>
      </c>
      <c r="F19" s="21">
        <f>INDEX(Fees!$B$2:$CG$99, MATCH(Calculator!$A$2,Fees!$A$2:$A$99,0), MATCH(Calculator!D19,Fees!$B$1:$CG$1,0))</f>
        <v>2.64</v>
      </c>
      <c r="G19" s="28" t="str">
        <f t="shared" si="2"/>
        <v>✅</v>
      </c>
      <c r="H19" s="33">
        <v>2020</v>
      </c>
      <c r="I19">
        <f t="shared" ref="I19:I24" si="4">IF(COUNTIFS($E$2:$E$1000,H19,$F$2:$F$1000,"&gt;0")=0,"",AVERAGEIFS($F$2:$F$1000,$E$2:$E$1000,H19,$F$2:$F$1000,"&gt;0"))</f>
        <v>2.64</v>
      </c>
      <c r="J19" s="34">
        <f>(I19-I18)/I18</f>
        <v>0.16814159292035438</v>
      </c>
    </row>
    <row r="20" spans="1:10" ht="17.399999999999999" x14ac:dyDescent="0.35">
      <c r="A20" s="111" t="s">
        <v>30</v>
      </c>
      <c r="B20" s="111"/>
      <c r="C20" s="22">
        <v>19</v>
      </c>
      <c r="D20" s="20">
        <f t="shared" si="0"/>
        <v>44013</v>
      </c>
      <c r="E20" s="29">
        <f t="shared" si="1"/>
        <v>2020</v>
      </c>
      <c r="F20" s="21">
        <f>INDEX(Fees!$B$2:$CG$99, MATCH(Calculator!$A$2,Fees!$A$2:$A$99,0), MATCH(Calculator!D20,Fees!$B$1:$CG$1,0))</f>
        <v>2.64</v>
      </c>
      <c r="G20" s="28" t="str">
        <f t="shared" si="2"/>
        <v>✅</v>
      </c>
      <c r="H20" s="33">
        <v>2021</v>
      </c>
      <c r="I20">
        <f t="shared" si="4"/>
        <v>2.64</v>
      </c>
      <c r="J20" s="34">
        <f t="shared" ref="J20" si="5">(I20-I19)/I19</f>
        <v>0</v>
      </c>
    </row>
    <row r="21" spans="1:10" x14ac:dyDescent="0.3">
      <c r="C21" s="22">
        <v>20</v>
      </c>
      <c r="D21" s="20">
        <f t="shared" si="0"/>
        <v>44044</v>
      </c>
      <c r="E21" s="29">
        <f t="shared" si="1"/>
        <v>2020</v>
      </c>
      <c r="F21" s="21">
        <f>INDEX(Fees!$B$2:$CG$99, MATCH(Calculator!$A$2,Fees!$A$2:$A$99,0), MATCH(Calculator!D21,Fees!$B$1:$CG$1,0))</f>
        <v>2.64</v>
      </c>
      <c r="G21" s="28" t="str">
        <f t="shared" si="2"/>
        <v>✅</v>
      </c>
      <c r="H21" s="33">
        <v>2022</v>
      </c>
      <c r="I21" t="str">
        <f t="shared" si="4"/>
        <v/>
      </c>
      <c r="J21" s="43" t="str">
        <f>IFERROR((I21-I20)/I20,"N/A")</f>
        <v>N/A</v>
      </c>
    </row>
    <row r="22" spans="1:10" x14ac:dyDescent="0.3">
      <c r="C22" s="22">
        <v>21</v>
      </c>
      <c r="D22" s="20">
        <f t="shared" si="0"/>
        <v>44075</v>
      </c>
      <c r="E22" s="29">
        <f t="shared" si="1"/>
        <v>2020</v>
      </c>
      <c r="F22" s="21">
        <f>INDEX(Fees!$B$2:$CG$99, MATCH(Calculator!$A$2,Fees!$A$2:$A$99,0), MATCH(Calculator!D22,Fees!$B$1:$CG$1,0))</f>
        <v>2.64</v>
      </c>
      <c r="G22" s="28" t="str">
        <f t="shared" si="2"/>
        <v>✅</v>
      </c>
      <c r="H22" s="33">
        <v>2023</v>
      </c>
      <c r="I22" t="str">
        <f t="shared" si="4"/>
        <v/>
      </c>
      <c r="J22" s="43" t="str">
        <f>IFERROR((I22-I21)/I21,"N/A")</f>
        <v>N/A</v>
      </c>
    </row>
    <row r="23" spans="1:10" ht="18" x14ac:dyDescent="0.35">
      <c r="A23" s="19" t="s">
        <v>139</v>
      </c>
      <c r="B23" s="45">
        <f>AVERAGE(A10,A12,A14)</f>
        <v>3.0679295925313634</v>
      </c>
      <c r="C23" s="22">
        <v>22</v>
      </c>
      <c r="D23" s="20">
        <f t="shared" si="0"/>
        <v>44105</v>
      </c>
      <c r="E23" s="29">
        <f t="shared" si="1"/>
        <v>2020</v>
      </c>
      <c r="F23" s="21">
        <f>INDEX(Fees!$B$2:$CG$99, MATCH(Calculator!$A$2,Fees!$A$2:$A$99,0), MATCH(Calculator!D23,Fees!$B$1:$CG$1,0))</f>
        <v>2.64</v>
      </c>
      <c r="G23" s="28" t="str">
        <f t="shared" si="2"/>
        <v>✅</v>
      </c>
      <c r="H23" s="33">
        <v>2024</v>
      </c>
      <c r="I23" t="str">
        <f t="shared" si="4"/>
        <v/>
      </c>
      <c r="J23" s="43" t="str">
        <f t="shared" ref="J23:J24" si="6">IFERROR((I23-I22)/I22,"N/A")</f>
        <v>N/A</v>
      </c>
    </row>
    <row r="24" spans="1:10" ht="18.600000000000001" thickBot="1" x14ac:dyDescent="0.4">
      <c r="A24" s="19" t="s">
        <v>140</v>
      </c>
      <c r="B24" s="45">
        <f>MAX(A10,A12,A14)</f>
        <v>3.9658241758241779</v>
      </c>
      <c r="C24" s="22">
        <v>23</v>
      </c>
      <c r="D24" s="20">
        <f t="shared" si="0"/>
        <v>44136</v>
      </c>
      <c r="E24" s="29">
        <f t="shared" si="1"/>
        <v>2020</v>
      </c>
      <c r="F24" s="21">
        <f>INDEX(Fees!$B$2:$CG$99, MATCH(Calculator!$A$2,Fees!$A$2:$A$99,0), MATCH(Calculator!D24,Fees!$B$1:$CG$1,0))</f>
        <v>2.64</v>
      </c>
      <c r="G24" s="28" t="str">
        <f t="shared" si="2"/>
        <v>✅</v>
      </c>
      <c r="H24" s="33">
        <v>2025</v>
      </c>
      <c r="I24" t="str">
        <f t="shared" si="4"/>
        <v/>
      </c>
      <c r="J24" s="43" t="str">
        <f t="shared" si="6"/>
        <v>N/A</v>
      </c>
    </row>
    <row r="25" spans="1:10" ht="18.600000000000001" thickBot="1" x14ac:dyDescent="0.4">
      <c r="A25" s="19" t="s">
        <v>141</v>
      </c>
      <c r="B25" s="45">
        <f>A8 +(A8*A4)</f>
        <v>0</v>
      </c>
      <c r="C25" s="22">
        <v>24</v>
      </c>
      <c r="D25" s="20">
        <f t="shared" si="0"/>
        <v>44166</v>
      </c>
      <c r="E25" s="29">
        <f t="shared" si="1"/>
        <v>2020</v>
      </c>
      <c r="F25" s="21">
        <f>INDEX(Fees!$B$2:$CG$99, MATCH(Calculator!$A$2,Fees!$A$2:$A$99,0), MATCH(Calculator!D25,Fees!$B$1:$CG$1,0))</f>
        <v>2.64</v>
      </c>
      <c r="G25" s="28" t="str">
        <f t="shared" si="2"/>
        <v>✅</v>
      </c>
      <c r="H25" s="39"/>
      <c r="I25" s="42">
        <f>AVERAGE(I18:I24)</f>
        <v>2.5133333333333332</v>
      </c>
      <c r="J25" s="56">
        <f>AVERAGE(J19:J24)</f>
        <v>8.4070796460177191E-2</v>
      </c>
    </row>
    <row r="26" spans="1:10" ht="15" thickBot="1" x14ac:dyDescent="0.35">
      <c r="C26" s="22">
        <v>25</v>
      </c>
      <c r="D26" s="20">
        <f t="shared" si="0"/>
        <v>44197</v>
      </c>
      <c r="E26" s="29">
        <f t="shared" si="1"/>
        <v>2021</v>
      </c>
      <c r="F26" s="21">
        <f>INDEX(Fees!$B$2:$CG$99, MATCH(Calculator!$A$2,Fees!$A$2:$A$99,0), MATCH(Calculator!D26,Fees!$B$1:$CG$1,0))</f>
        <v>2.64</v>
      </c>
      <c r="G26" s="28" t="str">
        <f t="shared" si="2"/>
        <v>✅</v>
      </c>
    </row>
    <row r="27" spans="1:10" ht="15" thickBot="1" x14ac:dyDescent="0.35">
      <c r="C27" s="22">
        <v>26</v>
      </c>
      <c r="D27" s="20">
        <f t="shared" si="0"/>
        <v>44228</v>
      </c>
      <c r="E27" s="29">
        <f t="shared" si="1"/>
        <v>2021</v>
      </c>
      <c r="F27" s="21">
        <f>INDEX(Fees!$B$2:$CG$99, MATCH(Calculator!$A$2,Fees!$A$2:$A$99,0), MATCH(Calculator!D27,Fees!$B$1:$CG$1,0))</f>
        <v>2.64</v>
      </c>
      <c r="G27" s="28" t="str">
        <f t="shared" si="2"/>
        <v>✅</v>
      </c>
      <c r="H27" s="108" t="s">
        <v>20</v>
      </c>
      <c r="I27" s="109"/>
      <c r="J27" s="110"/>
    </row>
    <row r="28" spans="1:10" ht="15" thickBot="1" x14ac:dyDescent="0.35">
      <c r="A28" s="112" t="s">
        <v>138</v>
      </c>
      <c r="C28" s="22">
        <v>27</v>
      </c>
      <c r="D28" s="20">
        <f t="shared" si="0"/>
        <v>44256</v>
      </c>
      <c r="E28" s="29">
        <f t="shared" si="1"/>
        <v>2021</v>
      </c>
      <c r="F28" s="21">
        <f>INDEX(Fees!$B$2:$CG$99, MATCH(Calculator!$A$2,Fees!$A$2:$A$99,0), MATCH(Calculator!D28,Fees!$B$1:$CG$1,0))</f>
        <v>2.64</v>
      </c>
      <c r="G28" s="28" t="str">
        <f t="shared" si="2"/>
        <v>✅</v>
      </c>
      <c r="H28" s="52" t="s">
        <v>17</v>
      </c>
      <c r="I28" s="53" t="s">
        <v>18</v>
      </c>
      <c r="J28" s="54" t="s">
        <v>21</v>
      </c>
    </row>
    <row r="29" spans="1:10" x14ac:dyDescent="0.3">
      <c r="A29" s="112"/>
      <c r="C29" s="22">
        <v>28</v>
      </c>
      <c r="D29" s="20">
        <f t="shared" si="0"/>
        <v>44287</v>
      </c>
      <c r="E29" s="29">
        <f t="shared" si="1"/>
        <v>2021</v>
      </c>
      <c r="F29" s="21">
        <f>INDEX(Fees!$B$2:$CG$99, MATCH(Calculator!$A$2,Fees!$A$2:$A$99,0), MATCH(Calculator!D29,Fees!$B$1:$CG$1,0))</f>
        <v>0</v>
      </c>
      <c r="G29" s="28" t="str">
        <f t="shared" si="2"/>
        <v>❌</v>
      </c>
      <c r="H29" s="33">
        <v>2019</v>
      </c>
      <c r="I29">
        <f>IF(COUNTIFS($E$2:$E$1000,H29,$F$2:$F$1000,"&gt;0")=0,"",AVERAGEIFS($F$2:$F$1000,$E$2:$E$1000,H29,$F$2:$F$1000,"&gt;0"))</f>
        <v>2.2599999999999993</v>
      </c>
      <c r="J29" s="25"/>
    </row>
    <row r="30" spans="1:10" x14ac:dyDescent="0.3">
      <c r="A30" s="112"/>
      <c r="C30" s="22">
        <v>29</v>
      </c>
      <c r="D30" s="20">
        <f t="shared" si="0"/>
        <v>44317</v>
      </c>
      <c r="E30" s="29">
        <f t="shared" si="1"/>
        <v>2021</v>
      </c>
      <c r="F30" s="21">
        <f>INDEX(Fees!$B$2:$CG$99, MATCH(Calculator!$A$2,Fees!$A$2:$A$99,0), MATCH(Calculator!D30,Fees!$B$1:$CG$1,0))</f>
        <v>0</v>
      </c>
      <c r="G30" s="28" t="str">
        <f t="shared" si="2"/>
        <v>❌</v>
      </c>
      <c r="H30" s="33">
        <v>2020</v>
      </c>
      <c r="I30">
        <f t="shared" ref="I30:I35" si="7">IF(COUNTIFS($E$2:$E$1000,H30,$F$2:$F$1000,"&gt;0")=0,"",AVERAGEIFS($F$2:$F$1000,$E$2:$E$1000,H30,$F$2:$F$1000,"&gt;0"))</f>
        <v>2.64</v>
      </c>
      <c r="J30" s="25"/>
    </row>
    <row r="31" spans="1:10" x14ac:dyDescent="0.3">
      <c r="C31" s="22">
        <v>30</v>
      </c>
      <c r="D31" s="20">
        <f t="shared" si="0"/>
        <v>44348</v>
      </c>
      <c r="E31" s="29">
        <f t="shared" si="1"/>
        <v>2021</v>
      </c>
      <c r="F31" s="21">
        <f>INDEX(Fees!$B$2:$CG$99, MATCH(Calculator!$A$2,Fees!$A$2:$A$99,0), MATCH(Calculator!D31,Fees!$B$1:$CG$1,0))</f>
        <v>0</v>
      </c>
      <c r="G31" s="28" t="str">
        <f t="shared" si="2"/>
        <v>❌</v>
      </c>
      <c r="H31" s="33">
        <v>2021</v>
      </c>
      <c r="I31">
        <f t="shared" si="7"/>
        <v>2.64</v>
      </c>
      <c r="J31" s="25">
        <f>IF(COUNT(I29:I31)&gt;2, AVERAGE(I29:I31),0)</f>
        <v>2.5133333333333332</v>
      </c>
    </row>
    <row r="32" spans="1:10" x14ac:dyDescent="0.3">
      <c r="C32" s="22">
        <v>31</v>
      </c>
      <c r="D32" s="20">
        <f t="shared" si="0"/>
        <v>44378</v>
      </c>
      <c r="E32" s="29">
        <f t="shared" si="1"/>
        <v>2021</v>
      </c>
      <c r="F32" s="21">
        <f>INDEX(Fees!$B$2:$CG$99, MATCH(Calculator!$A$2,Fees!$A$2:$A$99,0), MATCH(Calculator!D32,Fees!$B$1:$CG$1,0))</f>
        <v>0</v>
      </c>
      <c r="G32" s="28" t="str">
        <f t="shared" si="2"/>
        <v>❌</v>
      </c>
      <c r="H32" s="33">
        <v>2022</v>
      </c>
      <c r="I32" t="str">
        <f t="shared" si="7"/>
        <v/>
      </c>
      <c r="J32" s="25">
        <f t="shared" ref="J32:J35" si="8">IF(COUNT(I30:I32)&gt;2, AVERAGE(I30:I32),0)</f>
        <v>0</v>
      </c>
    </row>
    <row r="33" spans="3:10" x14ac:dyDescent="0.3">
      <c r="C33" s="22">
        <v>32</v>
      </c>
      <c r="D33" s="20">
        <f t="shared" si="0"/>
        <v>44409</v>
      </c>
      <c r="E33" s="29">
        <f t="shared" si="1"/>
        <v>2021</v>
      </c>
      <c r="F33" s="21">
        <f>INDEX(Fees!$B$2:$CG$99, MATCH(Calculator!$A$2,Fees!$A$2:$A$99,0), MATCH(Calculator!D33,Fees!$B$1:$CG$1,0))</f>
        <v>0</v>
      </c>
      <c r="G33" s="28" t="str">
        <f t="shared" si="2"/>
        <v>❌</v>
      </c>
      <c r="H33" s="33">
        <v>2023</v>
      </c>
      <c r="I33" t="str">
        <f t="shared" si="7"/>
        <v/>
      </c>
      <c r="J33" s="25">
        <f t="shared" si="8"/>
        <v>0</v>
      </c>
    </row>
    <row r="34" spans="3:10" x14ac:dyDescent="0.3">
      <c r="C34" s="22">
        <v>33</v>
      </c>
      <c r="D34" s="20">
        <f t="shared" si="0"/>
        <v>44440</v>
      </c>
      <c r="E34" s="29">
        <f t="shared" si="1"/>
        <v>2021</v>
      </c>
      <c r="F34" s="21">
        <f>INDEX(Fees!$B$2:$CG$99, MATCH(Calculator!$A$2,Fees!$A$2:$A$99,0), MATCH(Calculator!D34,Fees!$B$1:$CG$1,0))</f>
        <v>0</v>
      </c>
      <c r="G34" s="28" t="str">
        <f t="shared" si="2"/>
        <v>❌</v>
      </c>
      <c r="H34" s="33">
        <v>2024</v>
      </c>
      <c r="I34" t="str">
        <f t="shared" si="7"/>
        <v/>
      </c>
      <c r="J34" s="25">
        <f t="shared" si="8"/>
        <v>0</v>
      </c>
    </row>
    <row r="35" spans="3:10" ht="15" thickBot="1" x14ac:dyDescent="0.35">
      <c r="C35" s="22">
        <v>34</v>
      </c>
      <c r="D35" s="20">
        <f t="shared" si="0"/>
        <v>44470</v>
      </c>
      <c r="E35" s="29">
        <f t="shared" si="1"/>
        <v>2021</v>
      </c>
      <c r="F35" s="21">
        <f>INDEX(Fees!$B$2:$CG$99, MATCH(Calculator!$A$2,Fees!$A$2:$A$99,0), MATCH(Calculator!D35,Fees!$B$1:$CG$1,0))</f>
        <v>0</v>
      </c>
      <c r="G35" s="28" t="str">
        <f t="shared" si="2"/>
        <v>❌</v>
      </c>
      <c r="H35" s="41">
        <v>2025</v>
      </c>
      <c r="I35" s="26" t="str">
        <f t="shared" si="7"/>
        <v/>
      </c>
      <c r="J35" s="27">
        <f t="shared" si="8"/>
        <v>0</v>
      </c>
    </row>
    <row r="36" spans="3:10" x14ac:dyDescent="0.3">
      <c r="C36" s="22">
        <v>35</v>
      </c>
      <c r="D36" s="20">
        <f t="shared" si="0"/>
        <v>44501</v>
      </c>
      <c r="E36" s="29">
        <f t="shared" si="1"/>
        <v>2021</v>
      </c>
      <c r="F36" s="21">
        <f>INDEX(Fees!$B$2:$CG$99, MATCH(Calculator!$A$2,Fees!$A$2:$A$99,0), MATCH(Calculator!D36,Fees!$B$1:$CG$1,0))</f>
        <v>0</v>
      </c>
      <c r="G36" s="28" t="str">
        <f t="shared" si="2"/>
        <v>❌</v>
      </c>
    </row>
    <row r="37" spans="3:10" x14ac:dyDescent="0.3">
      <c r="C37" s="22">
        <v>36</v>
      </c>
      <c r="D37" s="20">
        <f t="shared" si="0"/>
        <v>44531</v>
      </c>
      <c r="E37" s="29">
        <f t="shared" si="1"/>
        <v>2021</v>
      </c>
      <c r="F37" s="21">
        <f>INDEX(Fees!$B$2:$CG$99, MATCH(Calculator!$A$2,Fees!$A$2:$A$99,0), MATCH(Calculator!D37,Fees!$B$1:$CG$1,0))</f>
        <v>0</v>
      </c>
      <c r="G37" s="28" t="str">
        <f t="shared" si="2"/>
        <v>❌</v>
      </c>
    </row>
    <row r="38" spans="3:10" x14ac:dyDescent="0.3">
      <c r="C38" s="22">
        <v>37</v>
      </c>
      <c r="D38" s="20">
        <v>44562</v>
      </c>
      <c r="E38" s="29">
        <f t="shared" si="1"/>
        <v>2022</v>
      </c>
      <c r="F38" s="21">
        <f>INDEX(Fees!$B$2:$CG$99, MATCH(Calculator!$A$2,Fees!$A$2:$A$99,0), MATCH(Calculator!D38,Fees!$B$1:$CG$1,0))</f>
        <v>0</v>
      </c>
      <c r="G38" s="28" t="str">
        <f t="shared" si="2"/>
        <v>❌</v>
      </c>
    </row>
    <row r="39" spans="3:10" x14ac:dyDescent="0.3">
      <c r="C39" s="22">
        <v>38</v>
      </c>
      <c r="D39" s="20">
        <v>44593</v>
      </c>
      <c r="E39" s="29">
        <f t="shared" si="1"/>
        <v>2022</v>
      </c>
      <c r="F39" s="21">
        <f>INDEX(Fees!$B$2:$CG$99, MATCH(Calculator!$A$2,Fees!$A$2:$A$99,0), MATCH(Calculator!D39,Fees!$B$1:$CG$1,0))</f>
        <v>0</v>
      </c>
      <c r="G39" s="28" t="str">
        <f t="shared" si="2"/>
        <v>❌</v>
      </c>
    </row>
    <row r="40" spans="3:10" x14ac:dyDescent="0.3">
      <c r="C40" s="22">
        <v>39</v>
      </c>
      <c r="D40" s="20">
        <v>44621</v>
      </c>
      <c r="E40" s="29">
        <f t="shared" si="1"/>
        <v>2022</v>
      </c>
      <c r="F40" s="21">
        <f>INDEX(Fees!$B$2:$CG$99, MATCH(Calculator!$A$2,Fees!$A$2:$A$99,0), MATCH(Calculator!D40,Fees!$B$1:$CG$1,0))</f>
        <v>0</v>
      </c>
      <c r="G40" s="28" t="str">
        <f t="shared" si="2"/>
        <v>❌</v>
      </c>
    </row>
    <row r="41" spans="3:10" x14ac:dyDescent="0.3">
      <c r="C41" s="22">
        <v>40</v>
      </c>
      <c r="D41" s="20">
        <v>44652</v>
      </c>
      <c r="E41" s="29">
        <f t="shared" si="1"/>
        <v>2022</v>
      </c>
      <c r="F41" s="21">
        <f>INDEX(Fees!$B$2:$CG$99, MATCH(Calculator!$A$2,Fees!$A$2:$A$99,0), MATCH(Calculator!D41,Fees!$B$1:$CG$1,0))</f>
        <v>0</v>
      </c>
      <c r="G41" s="28" t="str">
        <f t="shared" si="2"/>
        <v>❌</v>
      </c>
    </row>
    <row r="42" spans="3:10" x14ac:dyDescent="0.3">
      <c r="C42" s="22">
        <v>41</v>
      </c>
      <c r="D42" s="20">
        <v>44682</v>
      </c>
      <c r="E42" s="29">
        <f t="shared" si="1"/>
        <v>2022</v>
      </c>
      <c r="F42" s="21">
        <f>INDEX(Fees!$B$2:$CG$99, MATCH(Calculator!$A$2,Fees!$A$2:$A$99,0), MATCH(Calculator!D42,Fees!$B$1:$CG$1,0))</f>
        <v>0</v>
      </c>
      <c r="G42" s="28" t="str">
        <f t="shared" si="2"/>
        <v>❌</v>
      </c>
    </row>
    <row r="43" spans="3:10" x14ac:dyDescent="0.3">
      <c r="C43" s="22">
        <v>42</v>
      </c>
      <c r="D43" s="20">
        <v>44713</v>
      </c>
      <c r="E43" s="29">
        <f t="shared" si="1"/>
        <v>2022</v>
      </c>
      <c r="F43" s="21">
        <f>INDEX(Fees!$B$2:$CG$99, MATCH(Calculator!$A$2,Fees!$A$2:$A$99,0), MATCH(Calculator!D43,Fees!$B$1:$CG$1,0))</f>
        <v>0</v>
      </c>
      <c r="G43" s="28" t="str">
        <f t="shared" si="2"/>
        <v>❌</v>
      </c>
    </row>
    <row r="44" spans="3:10" x14ac:dyDescent="0.3">
      <c r="C44" s="22">
        <v>43</v>
      </c>
      <c r="D44" s="20">
        <v>44743</v>
      </c>
      <c r="E44" s="29">
        <f t="shared" si="1"/>
        <v>2022</v>
      </c>
      <c r="F44" s="21">
        <f>INDEX(Fees!$B$2:$CG$99, MATCH(Calculator!$A$2,Fees!$A$2:$A$99,0), MATCH(Calculator!D44,Fees!$B$1:$CG$1,0))</f>
        <v>0</v>
      </c>
      <c r="G44" s="28" t="str">
        <f t="shared" si="2"/>
        <v>❌</v>
      </c>
    </row>
    <row r="45" spans="3:10" x14ac:dyDescent="0.3">
      <c r="C45" s="22">
        <v>44</v>
      </c>
      <c r="D45" s="20">
        <v>44774</v>
      </c>
      <c r="E45" s="29">
        <f t="shared" si="1"/>
        <v>2022</v>
      </c>
      <c r="F45" s="21">
        <f>INDEX(Fees!$B$2:$CG$99, MATCH(Calculator!$A$2,Fees!$A$2:$A$99,0), MATCH(Calculator!D45,Fees!$B$1:$CG$1,0))</f>
        <v>0</v>
      </c>
      <c r="G45" s="28" t="str">
        <f t="shared" si="2"/>
        <v>❌</v>
      </c>
    </row>
    <row r="46" spans="3:10" x14ac:dyDescent="0.3">
      <c r="C46" s="22">
        <v>45</v>
      </c>
      <c r="D46" s="20">
        <v>44805</v>
      </c>
      <c r="E46" s="29">
        <f t="shared" si="1"/>
        <v>2022</v>
      </c>
      <c r="F46" s="21">
        <f>INDEX(Fees!$B$2:$CG$99, MATCH(Calculator!$A$2,Fees!$A$2:$A$99,0), MATCH(Calculator!D46,Fees!$B$1:$CG$1,0))</f>
        <v>0</v>
      </c>
      <c r="G46" s="28" t="str">
        <f t="shared" si="2"/>
        <v>❌</v>
      </c>
    </row>
    <row r="47" spans="3:10" x14ac:dyDescent="0.3">
      <c r="C47" s="22">
        <v>46</v>
      </c>
      <c r="D47" s="20">
        <v>44835</v>
      </c>
      <c r="E47" s="29">
        <f t="shared" si="1"/>
        <v>2022</v>
      </c>
      <c r="F47" s="21">
        <f>INDEX(Fees!$B$2:$CG$99, MATCH(Calculator!$A$2,Fees!$A$2:$A$99,0), MATCH(Calculator!D47,Fees!$B$1:$CG$1,0))</f>
        <v>0</v>
      </c>
      <c r="G47" s="28" t="str">
        <f t="shared" si="2"/>
        <v>❌</v>
      </c>
    </row>
    <row r="48" spans="3:10" x14ac:dyDescent="0.3">
      <c r="C48" s="22">
        <v>47</v>
      </c>
      <c r="D48" s="20">
        <v>44866</v>
      </c>
      <c r="E48" s="29">
        <f t="shared" si="1"/>
        <v>2022</v>
      </c>
      <c r="F48" s="21">
        <f>INDEX(Fees!$B$2:$CG$99, MATCH(Calculator!$A$2,Fees!$A$2:$A$99,0), MATCH(Calculator!D48,Fees!$B$1:$CG$1,0))</f>
        <v>0</v>
      </c>
      <c r="G48" s="28" t="str">
        <f t="shared" si="2"/>
        <v>❌</v>
      </c>
    </row>
    <row r="49" spans="3:7" x14ac:dyDescent="0.3">
      <c r="C49" s="22">
        <v>48</v>
      </c>
      <c r="D49" s="20">
        <v>44896</v>
      </c>
      <c r="E49" s="29">
        <f t="shared" si="1"/>
        <v>2022</v>
      </c>
      <c r="F49" s="21">
        <f>INDEX(Fees!$B$2:$CG$99, MATCH(Calculator!$A$2,Fees!$A$2:$A$99,0), MATCH(Calculator!D49,Fees!$B$1:$CG$1,0))</f>
        <v>0</v>
      </c>
      <c r="G49" s="28" t="str">
        <f t="shared" si="2"/>
        <v>❌</v>
      </c>
    </row>
    <row r="50" spans="3:7" x14ac:dyDescent="0.3">
      <c r="C50" s="22">
        <v>49</v>
      </c>
      <c r="D50" s="20">
        <v>44927</v>
      </c>
      <c r="E50" s="29">
        <f t="shared" si="1"/>
        <v>2023</v>
      </c>
      <c r="F50" s="21">
        <f>INDEX(Fees!$B$2:$CG$99, MATCH(Calculator!$A$2,Fees!$A$2:$A$99,0), MATCH(Calculator!D50,Fees!$B$1:$CG$1,0))</f>
        <v>0</v>
      </c>
      <c r="G50" s="28" t="str">
        <f t="shared" si="2"/>
        <v>❌</v>
      </c>
    </row>
    <row r="51" spans="3:7" x14ac:dyDescent="0.3">
      <c r="C51" s="22">
        <v>50</v>
      </c>
      <c r="D51" s="20">
        <v>44958</v>
      </c>
      <c r="E51" s="29">
        <f t="shared" si="1"/>
        <v>2023</v>
      </c>
      <c r="F51" s="21">
        <f>INDEX(Fees!$B$2:$CG$99, MATCH(Calculator!$A$2,Fees!$A$2:$A$99,0), MATCH(Calculator!D51,Fees!$B$1:$CG$1,0))</f>
        <v>0</v>
      </c>
      <c r="G51" s="28" t="str">
        <f t="shared" si="2"/>
        <v>❌</v>
      </c>
    </row>
    <row r="52" spans="3:7" x14ac:dyDescent="0.3">
      <c r="C52" s="22">
        <v>51</v>
      </c>
      <c r="D52" s="20">
        <v>44986</v>
      </c>
      <c r="E52" s="29">
        <f t="shared" si="1"/>
        <v>2023</v>
      </c>
      <c r="F52" s="21">
        <f>INDEX(Fees!$B$2:$CG$99, MATCH(Calculator!$A$2,Fees!$A$2:$A$99,0), MATCH(Calculator!D52,Fees!$B$1:$CG$1,0))</f>
        <v>0</v>
      </c>
      <c r="G52" s="28" t="str">
        <f t="shared" si="2"/>
        <v>❌</v>
      </c>
    </row>
    <row r="53" spans="3:7" x14ac:dyDescent="0.3">
      <c r="C53" s="22">
        <v>52</v>
      </c>
      <c r="D53" s="20">
        <v>45017</v>
      </c>
      <c r="E53" s="29">
        <f t="shared" si="1"/>
        <v>2023</v>
      </c>
      <c r="F53" s="21">
        <f>INDEX(Fees!$B$2:$CG$99, MATCH(Calculator!$A$2,Fees!$A$2:$A$99,0), MATCH(Calculator!D53,Fees!$B$1:$CG$1,0))</f>
        <v>0</v>
      </c>
      <c r="G53" s="28" t="str">
        <f t="shared" si="2"/>
        <v>❌</v>
      </c>
    </row>
    <row r="54" spans="3:7" x14ac:dyDescent="0.3">
      <c r="C54" s="22">
        <v>53</v>
      </c>
      <c r="D54" s="20">
        <v>45047</v>
      </c>
      <c r="E54" s="29">
        <f t="shared" si="1"/>
        <v>2023</v>
      </c>
      <c r="F54" s="21">
        <f>INDEX(Fees!$B$2:$CG$99, MATCH(Calculator!$A$2,Fees!$A$2:$A$99,0), MATCH(Calculator!D54,Fees!$B$1:$CG$1,0))</f>
        <v>0</v>
      </c>
      <c r="G54" s="28" t="str">
        <f t="shared" si="2"/>
        <v>❌</v>
      </c>
    </row>
    <row r="55" spans="3:7" x14ac:dyDescent="0.3">
      <c r="C55" s="22">
        <v>54</v>
      </c>
      <c r="D55" s="20">
        <v>45078</v>
      </c>
      <c r="E55" s="29">
        <f t="shared" si="1"/>
        <v>2023</v>
      </c>
      <c r="F55" s="21">
        <f>INDEX(Fees!$B$2:$CG$99, MATCH(Calculator!$A$2,Fees!$A$2:$A$99,0), MATCH(Calculator!D55,Fees!$B$1:$CG$1,0))</f>
        <v>0</v>
      </c>
      <c r="G55" s="28" t="str">
        <f t="shared" si="2"/>
        <v>❌</v>
      </c>
    </row>
    <row r="56" spans="3:7" x14ac:dyDescent="0.3">
      <c r="C56" s="22">
        <v>55</v>
      </c>
      <c r="D56" s="20">
        <v>45108</v>
      </c>
      <c r="E56" s="29">
        <f t="shared" si="1"/>
        <v>2023</v>
      </c>
      <c r="F56" s="21">
        <f>INDEX(Fees!$B$2:$CG$99, MATCH(Calculator!$A$2,Fees!$A$2:$A$99,0), MATCH(Calculator!D56,Fees!$B$1:$CG$1,0))</f>
        <v>0</v>
      </c>
      <c r="G56" s="28" t="str">
        <f t="shared" si="2"/>
        <v>❌</v>
      </c>
    </row>
    <row r="57" spans="3:7" x14ac:dyDescent="0.3">
      <c r="C57" s="22">
        <v>56</v>
      </c>
      <c r="D57" s="20">
        <v>45139</v>
      </c>
      <c r="E57" s="29">
        <f t="shared" si="1"/>
        <v>2023</v>
      </c>
      <c r="F57" s="21">
        <f>INDEX(Fees!$B$2:$CG$99, MATCH(Calculator!$A$2,Fees!$A$2:$A$99,0), MATCH(Calculator!D57,Fees!$B$1:$CG$1,0))</f>
        <v>0</v>
      </c>
      <c r="G57" s="28" t="str">
        <f t="shared" si="2"/>
        <v>❌</v>
      </c>
    </row>
    <row r="58" spans="3:7" x14ac:dyDescent="0.3">
      <c r="C58" s="22">
        <v>57</v>
      </c>
      <c r="D58" s="20">
        <v>45170</v>
      </c>
      <c r="E58" s="29">
        <f t="shared" si="1"/>
        <v>2023</v>
      </c>
      <c r="F58" s="21">
        <f>INDEX(Fees!$B$2:$CG$99, MATCH(Calculator!$A$2,Fees!$A$2:$A$99,0), MATCH(Calculator!D58,Fees!$B$1:$CG$1,0))</f>
        <v>0</v>
      </c>
      <c r="G58" s="28" t="str">
        <f t="shared" si="2"/>
        <v>❌</v>
      </c>
    </row>
    <row r="59" spans="3:7" x14ac:dyDescent="0.3">
      <c r="C59" s="22">
        <v>58</v>
      </c>
      <c r="D59" s="20">
        <v>45200</v>
      </c>
      <c r="E59" s="29">
        <f t="shared" si="1"/>
        <v>2023</v>
      </c>
      <c r="F59" s="21">
        <f>INDEX(Fees!$B$2:$CG$99, MATCH(Calculator!$A$2,Fees!$A$2:$A$99,0), MATCH(Calculator!D59,Fees!$B$1:$CG$1,0))</f>
        <v>0</v>
      </c>
      <c r="G59" s="28" t="str">
        <f t="shared" si="2"/>
        <v>❌</v>
      </c>
    </row>
    <row r="60" spans="3:7" x14ac:dyDescent="0.3">
      <c r="C60" s="22">
        <v>59</v>
      </c>
      <c r="D60" s="20">
        <v>45231</v>
      </c>
      <c r="E60" s="29">
        <f t="shared" si="1"/>
        <v>2023</v>
      </c>
      <c r="F60" s="21">
        <f>INDEX(Fees!$B$2:$CG$99, MATCH(Calculator!$A$2,Fees!$A$2:$A$99,0), MATCH(Calculator!D60,Fees!$B$1:$CG$1,0))</f>
        <v>0</v>
      </c>
      <c r="G60" s="28" t="str">
        <f t="shared" si="2"/>
        <v>❌</v>
      </c>
    </row>
    <row r="61" spans="3:7" x14ac:dyDescent="0.3">
      <c r="C61" s="22">
        <v>60</v>
      </c>
      <c r="D61" s="20">
        <v>45261</v>
      </c>
      <c r="E61" s="29">
        <f t="shared" si="1"/>
        <v>2023</v>
      </c>
      <c r="F61" s="21">
        <f>INDEX(Fees!$B$2:$CG$99, MATCH(Calculator!$A$2,Fees!$A$2:$A$99,0), MATCH(Calculator!D61,Fees!$B$1:$CG$1,0))</f>
        <v>0</v>
      </c>
      <c r="G61" s="28" t="str">
        <f t="shared" si="2"/>
        <v>❌</v>
      </c>
    </row>
    <row r="62" spans="3:7" x14ac:dyDescent="0.3">
      <c r="C62" s="22">
        <v>61</v>
      </c>
      <c r="D62" s="20">
        <v>45292</v>
      </c>
      <c r="E62" s="29">
        <f t="shared" si="1"/>
        <v>2024</v>
      </c>
      <c r="F62" s="21">
        <f>INDEX(Fees!$B$2:$CG$99, MATCH(Calculator!$A$2,Fees!$A$2:$A$99,0), MATCH(Calculator!D62,Fees!$B$1:$CG$1,0))</f>
        <v>0</v>
      </c>
      <c r="G62" s="28" t="str">
        <f t="shared" si="2"/>
        <v>❌</v>
      </c>
    </row>
    <row r="63" spans="3:7" x14ac:dyDescent="0.3">
      <c r="C63" s="22">
        <v>62</v>
      </c>
      <c r="D63" s="20">
        <v>45323</v>
      </c>
      <c r="E63" s="29">
        <f t="shared" si="1"/>
        <v>2024</v>
      </c>
      <c r="F63" s="21">
        <f>INDEX(Fees!$B$2:$CG$99, MATCH(Calculator!$A$2,Fees!$A$2:$A$99,0), MATCH(Calculator!D63,Fees!$B$1:$CG$1,0))</f>
        <v>0</v>
      </c>
      <c r="G63" s="28" t="str">
        <f t="shared" si="2"/>
        <v>❌</v>
      </c>
    </row>
    <row r="64" spans="3:7" x14ac:dyDescent="0.3">
      <c r="C64" s="22">
        <v>63</v>
      </c>
      <c r="D64" s="20">
        <v>45352</v>
      </c>
      <c r="E64" s="29">
        <f t="shared" si="1"/>
        <v>2024</v>
      </c>
      <c r="F64" s="21">
        <f>INDEX(Fees!$B$2:$CG$99, MATCH(Calculator!$A$2,Fees!$A$2:$A$99,0), MATCH(Calculator!D64,Fees!$B$1:$CG$1,0))</f>
        <v>0</v>
      </c>
      <c r="G64" s="28" t="str">
        <f t="shared" si="2"/>
        <v>❌</v>
      </c>
    </row>
    <row r="65" spans="3:9" x14ac:dyDescent="0.3">
      <c r="C65" s="22">
        <v>64</v>
      </c>
      <c r="D65" s="20">
        <v>45383</v>
      </c>
      <c r="E65" s="29">
        <f t="shared" si="1"/>
        <v>2024</v>
      </c>
      <c r="F65" s="21">
        <f>INDEX(Fees!$B$2:$CG$99, MATCH(Calculator!$A$2,Fees!$A$2:$A$99,0), MATCH(Calculator!D65,Fees!$B$1:$CG$1,0))</f>
        <v>0</v>
      </c>
      <c r="G65" s="28" t="str">
        <f t="shared" si="2"/>
        <v>❌</v>
      </c>
    </row>
    <row r="66" spans="3:9" x14ac:dyDescent="0.3">
      <c r="C66" s="22">
        <v>65</v>
      </c>
      <c r="D66" s="20">
        <v>45413</v>
      </c>
      <c r="E66" s="29">
        <f t="shared" si="1"/>
        <v>2024</v>
      </c>
      <c r="F66" s="21">
        <f>INDEX(Fees!$B$2:$CG$99, MATCH(Calculator!$A$2,Fees!$A$2:$A$99,0), MATCH(Calculator!D66,Fees!$B$1:$CG$1,0))</f>
        <v>0</v>
      </c>
      <c r="G66" s="28" t="str">
        <f t="shared" si="2"/>
        <v>❌</v>
      </c>
    </row>
    <row r="67" spans="3:9" x14ac:dyDescent="0.3">
      <c r="C67" s="22">
        <v>66</v>
      </c>
      <c r="D67" s="20">
        <v>45444</v>
      </c>
      <c r="E67" s="29">
        <f t="shared" ref="E67:E85" si="9">YEAR(D67)</f>
        <v>2024</v>
      </c>
      <c r="F67" s="21">
        <f>INDEX(Fees!$B$2:$CG$99, MATCH(Calculator!$A$2,Fees!$A$2:$A$99,0), MATCH(Calculator!D67,Fees!$B$1:$CG$1,0))</f>
        <v>0</v>
      </c>
      <c r="G67" s="28" t="str">
        <f t="shared" ref="G67:G85" si="10">IF(AND(F67&gt;0, ISNUMBER(C67)), "✅", "❌")</f>
        <v>❌</v>
      </c>
    </row>
    <row r="68" spans="3:9" x14ac:dyDescent="0.3">
      <c r="C68" s="22">
        <v>67</v>
      </c>
      <c r="D68" s="20">
        <v>45474</v>
      </c>
      <c r="E68" s="29">
        <f t="shared" si="9"/>
        <v>2024</v>
      </c>
      <c r="F68" s="21">
        <f>INDEX(Fees!$B$2:$CG$99, MATCH(Calculator!$A$2,Fees!$A$2:$A$99,0), MATCH(Calculator!D68,Fees!$B$1:$CG$1,0))</f>
        <v>0</v>
      </c>
      <c r="G68" s="28" t="str">
        <f t="shared" si="10"/>
        <v>❌</v>
      </c>
    </row>
    <row r="69" spans="3:9" x14ac:dyDescent="0.3">
      <c r="C69" s="22">
        <v>68</v>
      </c>
      <c r="D69" s="20">
        <v>45505</v>
      </c>
      <c r="E69" s="29">
        <f t="shared" si="9"/>
        <v>2024</v>
      </c>
      <c r="F69" s="21">
        <f>INDEX(Fees!$B$2:$CG$99, MATCH(Calculator!$A$2,Fees!$A$2:$A$99,0), MATCH(Calculator!D69,Fees!$B$1:$CG$1,0))</f>
        <v>0</v>
      </c>
      <c r="G69" s="28" t="str">
        <f t="shared" si="10"/>
        <v>❌</v>
      </c>
    </row>
    <row r="70" spans="3:9" x14ac:dyDescent="0.3">
      <c r="C70" s="22">
        <v>69</v>
      </c>
      <c r="D70" s="20">
        <v>45536</v>
      </c>
      <c r="E70" s="29">
        <f t="shared" si="9"/>
        <v>2024</v>
      </c>
      <c r="F70" s="21">
        <f>INDEX(Fees!$B$2:$CG$99, MATCH(Calculator!$A$2,Fees!$A$2:$A$99,0), MATCH(Calculator!D70,Fees!$B$1:$CG$1,0))</f>
        <v>0</v>
      </c>
      <c r="G70" s="28" t="str">
        <f t="shared" si="10"/>
        <v>❌</v>
      </c>
    </row>
    <row r="71" spans="3:9" x14ac:dyDescent="0.3">
      <c r="C71" s="22">
        <v>70</v>
      </c>
      <c r="D71" s="20">
        <v>45566</v>
      </c>
      <c r="E71" s="29">
        <f t="shared" si="9"/>
        <v>2024</v>
      </c>
      <c r="F71" s="21">
        <f>INDEX(Fees!$B$2:$CG$99, MATCH(Calculator!$A$2,Fees!$A$2:$A$99,0), MATCH(Calculator!D71,Fees!$B$1:$CG$1,0))</f>
        <v>0</v>
      </c>
      <c r="G71" s="28" t="str">
        <f t="shared" si="10"/>
        <v>❌</v>
      </c>
    </row>
    <row r="72" spans="3:9" x14ac:dyDescent="0.3">
      <c r="C72" s="22">
        <v>71</v>
      </c>
      <c r="D72" s="20">
        <v>45597</v>
      </c>
      <c r="E72" s="29">
        <f t="shared" si="9"/>
        <v>2024</v>
      </c>
      <c r="F72" s="21">
        <f>INDEX(Fees!$B$2:$CG$99, MATCH(Calculator!$A$2,Fees!$A$2:$A$99,0), MATCH(Calculator!D72,Fees!$B$1:$CG$1,0))</f>
        <v>0</v>
      </c>
      <c r="G72" s="28" t="str">
        <f t="shared" si="10"/>
        <v>❌</v>
      </c>
    </row>
    <row r="73" spans="3:9" x14ac:dyDescent="0.3">
      <c r="C73" s="22">
        <v>72</v>
      </c>
      <c r="D73" s="20">
        <v>45627</v>
      </c>
      <c r="E73" s="29">
        <f t="shared" si="9"/>
        <v>2024</v>
      </c>
      <c r="F73" s="21">
        <f>INDEX(Fees!$B$2:$CG$99, MATCH(Calculator!$A$2,Fees!$A$2:$A$99,0), MATCH(Calculator!D73,Fees!$B$1:$CG$1,0))</f>
        <v>0</v>
      </c>
      <c r="G73" s="28" t="str">
        <f t="shared" si="10"/>
        <v>❌</v>
      </c>
    </row>
    <row r="74" spans="3:9" x14ac:dyDescent="0.3">
      <c r="C74" s="22">
        <v>73</v>
      </c>
      <c r="D74" s="20">
        <v>45658</v>
      </c>
      <c r="E74" s="29">
        <f t="shared" si="9"/>
        <v>2025</v>
      </c>
      <c r="F74" s="21">
        <f>INDEX(Fees!$B$2:$CG$99, MATCH(Calculator!$A$2,Fees!$A$2:$A$99,0), MATCH(Calculator!D74,Fees!$B$1:$CG$1,0))</f>
        <v>0</v>
      </c>
      <c r="G74" s="28" t="str">
        <f t="shared" si="10"/>
        <v>❌</v>
      </c>
    </row>
    <row r="75" spans="3:9" x14ac:dyDescent="0.3">
      <c r="C75" s="22">
        <v>74</v>
      </c>
      <c r="D75" s="20">
        <v>45689</v>
      </c>
      <c r="E75" s="29">
        <f t="shared" si="9"/>
        <v>2025</v>
      </c>
      <c r="F75" s="21">
        <f>INDEX(Fees!$B$2:$CG$99, MATCH(Calculator!$A$2,Fees!$A$2:$A$99,0), MATCH(Calculator!D75,Fees!$B$1:$CG$1,0))</f>
        <v>0</v>
      </c>
      <c r="G75" s="28" t="str">
        <f t="shared" si="10"/>
        <v>❌</v>
      </c>
    </row>
    <row r="76" spans="3:9" x14ac:dyDescent="0.3">
      <c r="C76" s="22">
        <v>75</v>
      </c>
      <c r="D76" s="20">
        <v>45717</v>
      </c>
      <c r="E76" s="29">
        <f t="shared" si="9"/>
        <v>2025</v>
      </c>
      <c r="F76" s="21">
        <f>INDEX(Fees!$B$2:$CG$99, MATCH(Calculator!$A$2,Fees!$A$2:$A$99,0), MATCH(Calculator!D76,Fees!$B$1:$CG$1,0))</f>
        <v>0</v>
      </c>
      <c r="G76" s="28" t="str">
        <f t="shared" si="10"/>
        <v>❌</v>
      </c>
    </row>
    <row r="77" spans="3:9" x14ac:dyDescent="0.3">
      <c r="C77" s="22">
        <v>76</v>
      </c>
      <c r="D77" s="20">
        <v>45748</v>
      </c>
      <c r="E77" s="29">
        <f t="shared" si="9"/>
        <v>2025</v>
      </c>
      <c r="F77" s="21">
        <f>INDEX(Fees!$B$2:$CG$99, MATCH(Calculator!$A$2,Fees!$A$2:$A$99,0), MATCH(Calculator!D77,Fees!$B$1:$CG$1,0))</f>
        <v>0</v>
      </c>
      <c r="G77" s="28" t="str">
        <f t="shared" si="10"/>
        <v>❌</v>
      </c>
    </row>
    <row r="78" spans="3:9" x14ac:dyDescent="0.3">
      <c r="C78" s="22">
        <v>77</v>
      </c>
      <c r="D78" s="20">
        <v>45778</v>
      </c>
      <c r="E78" s="29">
        <f t="shared" si="9"/>
        <v>2025</v>
      </c>
      <c r="F78" s="21">
        <f>INDEX(Fees!$B$2:$CG$99, MATCH(Calculator!$A$2,Fees!$A$2:$A$99,0), MATCH(Calculator!D78,Fees!$B$1:$CG$1,0))</f>
        <v>0</v>
      </c>
      <c r="G78" s="28" t="str">
        <f t="shared" si="10"/>
        <v>❌</v>
      </c>
    </row>
    <row r="79" spans="3:9" x14ac:dyDescent="0.3">
      <c r="C79" s="22">
        <v>78</v>
      </c>
      <c r="D79" s="20">
        <v>45809</v>
      </c>
      <c r="E79" s="29">
        <f t="shared" si="9"/>
        <v>2025</v>
      </c>
      <c r="F79" s="21">
        <f>INDEX(Fees!$B$2:$CG$99, MATCH(Calculator!$A$2,Fees!$A$2:$A$99,0), MATCH(Calculator!D79,Fees!$B$1:$CG$1,0))</f>
        <v>0</v>
      </c>
      <c r="G79" s="28" t="str">
        <f t="shared" si="10"/>
        <v>❌</v>
      </c>
    </row>
    <row r="80" spans="3:9" x14ac:dyDescent="0.3">
      <c r="C80" s="22">
        <v>79</v>
      </c>
      <c r="D80" s="20">
        <v>45839</v>
      </c>
      <c r="E80" s="29">
        <f t="shared" si="9"/>
        <v>2025</v>
      </c>
      <c r="F80" s="21">
        <f>INDEX(Fees!$B$2:$CG$99, MATCH(Calculator!$A$2,Fees!$A$2:$A$99,0), MATCH(Calculator!D80,Fees!$B$1:$CG$1,0))</f>
        <v>0</v>
      </c>
      <c r="G80" s="28" t="str">
        <f t="shared" si="10"/>
        <v>❌</v>
      </c>
      <c r="I80" s="22"/>
    </row>
    <row r="81" spans="3:9" x14ac:dyDescent="0.3">
      <c r="C81" s="22">
        <v>80</v>
      </c>
      <c r="D81" s="20">
        <v>45870</v>
      </c>
      <c r="E81" s="29">
        <f t="shared" si="9"/>
        <v>2025</v>
      </c>
      <c r="F81" s="21">
        <f>INDEX(Fees!$B$2:$CG$99, MATCH(Calculator!$A$2,Fees!$A$2:$A$99,0), MATCH(Calculator!D81,Fees!$B$1:$CG$1,0))</f>
        <v>0</v>
      </c>
      <c r="G81" s="28" t="str">
        <f t="shared" si="10"/>
        <v>❌</v>
      </c>
      <c r="I81" s="22"/>
    </row>
    <row r="82" spans="3:9" x14ac:dyDescent="0.3">
      <c r="C82" s="22">
        <v>81</v>
      </c>
      <c r="D82" s="20">
        <v>45901</v>
      </c>
      <c r="E82" s="29">
        <f t="shared" si="9"/>
        <v>2025</v>
      </c>
      <c r="F82" s="21">
        <f>INDEX(Fees!$B$2:$CG$99, MATCH(Calculator!$A$2,Fees!$A$2:$A$99,0), MATCH(Calculator!D82,Fees!$B$1:$CG$1,0))</f>
        <v>0</v>
      </c>
      <c r="G82" s="28" t="str">
        <f t="shared" si="10"/>
        <v>❌</v>
      </c>
      <c r="I82" s="22"/>
    </row>
    <row r="83" spans="3:9" x14ac:dyDescent="0.3">
      <c r="C83" s="22">
        <v>82</v>
      </c>
      <c r="D83" s="20">
        <v>45931</v>
      </c>
      <c r="E83" s="29">
        <f t="shared" si="9"/>
        <v>2025</v>
      </c>
      <c r="F83" s="21">
        <f>INDEX(Fees!$B$2:$CG$99, MATCH(Calculator!$A$2,Fees!$A$2:$A$99,0), MATCH(Calculator!D83,Fees!$B$1:$CG$1,0))</f>
        <v>0</v>
      </c>
      <c r="G83" s="28" t="str">
        <f t="shared" si="10"/>
        <v>❌</v>
      </c>
      <c r="I83" s="22"/>
    </row>
    <row r="84" spans="3:9" x14ac:dyDescent="0.3">
      <c r="C84" s="22">
        <v>83</v>
      </c>
      <c r="D84" s="20">
        <v>45962</v>
      </c>
      <c r="E84" s="29">
        <f t="shared" si="9"/>
        <v>2025</v>
      </c>
      <c r="F84" s="21">
        <f>INDEX(Fees!$B$2:$CG$99, MATCH(Calculator!$A$2,Fees!$A$2:$A$99,0), MATCH(Calculator!D84,Fees!$B$1:$CG$1,0))</f>
        <v>0</v>
      </c>
      <c r="G84" s="28" t="str">
        <f t="shared" si="10"/>
        <v>❌</v>
      </c>
      <c r="I84" s="22"/>
    </row>
    <row r="85" spans="3:9" x14ac:dyDescent="0.3">
      <c r="C85" s="22">
        <v>84</v>
      </c>
      <c r="D85" s="20">
        <v>45992</v>
      </c>
      <c r="E85" s="29">
        <f t="shared" si="9"/>
        <v>2025</v>
      </c>
      <c r="F85" s="21">
        <f>INDEX(Fees!$B$2:$CG$99, MATCH(Calculator!$A$2,Fees!$A$2:$A$99,0), MATCH(Calculator!D85,Fees!$B$1:$CG$1,0))</f>
        <v>0</v>
      </c>
      <c r="G85" s="28" t="str">
        <f t="shared" si="10"/>
        <v>❌</v>
      </c>
      <c r="I85" s="22"/>
    </row>
    <row r="86" spans="3:9" x14ac:dyDescent="0.3">
      <c r="I86" s="22"/>
    </row>
    <row r="87" spans="3:9" x14ac:dyDescent="0.3">
      <c r="I87" s="22"/>
    </row>
    <row r="88" spans="3:9" x14ac:dyDescent="0.3">
      <c r="I88" s="22"/>
    </row>
    <row r="89" spans="3:9" x14ac:dyDescent="0.3">
      <c r="I89" s="22"/>
    </row>
    <row r="90" spans="3:9" x14ac:dyDescent="0.3">
      <c r="I90" s="22"/>
    </row>
    <row r="91" spans="3:9" x14ac:dyDescent="0.3">
      <c r="I91" s="22"/>
    </row>
    <row r="92" spans="3:9" x14ac:dyDescent="0.3">
      <c r="I92" s="22"/>
    </row>
    <row r="93" spans="3:9" x14ac:dyDescent="0.3">
      <c r="I93" s="22"/>
    </row>
    <row r="94" spans="3:9" x14ac:dyDescent="0.3">
      <c r="I94" s="22"/>
    </row>
  </sheetData>
  <mergeCells count="5">
    <mergeCell ref="H16:J16"/>
    <mergeCell ref="H27:J27"/>
    <mergeCell ref="A20:B20"/>
    <mergeCell ref="H15:J15"/>
    <mergeCell ref="A28:A30"/>
  </mergeCells>
  <phoneticPr fontId="5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FD3DA0F-E190-4E3A-BCC8-4DF162001CE0}">
          <x14:formula1>
            <xm:f>Fees!$A$2:$A$99</xm:f>
          </x14:formula1>
          <xm:sqref>A2</xm:sqref>
        </x14:dataValidation>
        <x14:dataValidation type="list" allowBlank="1" showInputMessage="1" showErrorMessage="1" xr:uid="{00C853C8-E782-4899-B2A3-C0D01F2F6ACB}">
          <x14:formula1>
            <xm:f>Fees!#REF!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CB08-DF1F-448D-B546-8DBA726DFA84}">
  <dimension ref="D5:M46"/>
  <sheetViews>
    <sheetView tabSelected="1" topLeftCell="D1" workbookViewId="0">
      <selection activeCell="L3" sqref="L3"/>
    </sheetView>
  </sheetViews>
  <sheetFormatPr defaultRowHeight="14.4" x14ac:dyDescent="0.3"/>
  <cols>
    <col min="4" max="4" width="65.109375" customWidth="1"/>
    <col min="5" max="5" width="17" bestFit="1" customWidth="1"/>
    <col min="6" max="6" width="21.109375" bestFit="1" customWidth="1"/>
    <col min="7" max="7" width="10.44140625" customWidth="1"/>
    <col min="8" max="8" width="14.88671875" bestFit="1" customWidth="1"/>
    <col min="9" max="9" width="13.5546875" customWidth="1"/>
    <col min="10" max="10" width="22.5546875" bestFit="1" customWidth="1"/>
    <col min="11" max="11" width="8.6640625" bestFit="1" customWidth="1"/>
    <col min="12" max="12" width="22.21875" bestFit="1" customWidth="1"/>
    <col min="13" max="13" width="8.6640625" bestFit="1" customWidth="1"/>
  </cols>
  <sheetData>
    <row r="5" spans="4:13" ht="15" thickBot="1" x14ac:dyDescent="0.35"/>
    <row r="6" spans="4:13" ht="15" thickBot="1" x14ac:dyDescent="0.35">
      <c r="D6" s="59" t="s">
        <v>32</v>
      </c>
      <c r="E6" s="67" t="s">
        <v>39</v>
      </c>
      <c r="F6" s="76" t="s">
        <v>33</v>
      </c>
      <c r="G6" s="70" t="s">
        <v>34</v>
      </c>
      <c r="H6" s="77" t="s">
        <v>35</v>
      </c>
      <c r="I6" s="78" t="s">
        <v>34</v>
      </c>
      <c r="J6" s="85" t="s">
        <v>36</v>
      </c>
      <c r="K6" s="86" t="s">
        <v>34</v>
      </c>
      <c r="L6" s="93" t="s">
        <v>37</v>
      </c>
      <c r="M6" s="60" t="s">
        <v>34</v>
      </c>
    </row>
    <row r="7" spans="4:13" x14ac:dyDescent="0.3">
      <c r="D7" s="57" t="s">
        <v>40</v>
      </c>
      <c r="E7" s="68">
        <v>433008</v>
      </c>
      <c r="F7" s="71">
        <v>463238.70319405198</v>
      </c>
      <c r="G7" s="72">
        <f t="shared" ref="G7:G23" si="0">(F7-E7)/F7</f>
        <v>6.5259450442309561E-2</v>
      </c>
      <c r="H7" s="79">
        <v>345466.27510937426</v>
      </c>
      <c r="I7" s="80">
        <f t="shared" ref="I7:I23" si="1">(H7-E7)/H7</f>
        <v>-0.25340165219574656</v>
      </c>
      <c r="J7" s="87">
        <v>293226.5</v>
      </c>
      <c r="K7" s="88">
        <f t="shared" ref="K7:K23" si="2">(J7-E7)/J7</f>
        <v>-0.4767014577468271</v>
      </c>
      <c r="L7" s="94">
        <v>433176</v>
      </c>
      <c r="M7" s="61">
        <f t="shared" ref="M7:M23" si="3">(L7-E7)/L7</f>
        <v>3.87833120948529E-4</v>
      </c>
    </row>
    <row r="8" spans="4:13" x14ac:dyDescent="0.3">
      <c r="D8" s="57" t="s">
        <v>41</v>
      </c>
      <c r="E8" s="68">
        <v>0.7583333333333333</v>
      </c>
      <c r="F8" s="73">
        <v>0.50386971946188452</v>
      </c>
      <c r="G8" s="100">
        <f t="shared" si="0"/>
        <v>-0.50501866661725003</v>
      </c>
      <c r="H8" s="81">
        <v>3.0750148839858524</v>
      </c>
      <c r="I8" s="80">
        <f t="shared" si="1"/>
        <v>0.7533887275529616</v>
      </c>
      <c r="J8" s="89">
        <v>2.4095214886952121</v>
      </c>
      <c r="K8" s="88">
        <f t="shared" si="2"/>
        <v>0.68527637670333419</v>
      </c>
      <c r="L8" s="95">
        <v>5.432944360279329</v>
      </c>
      <c r="M8" s="61">
        <f t="shared" si="3"/>
        <v>0.8604194552630493</v>
      </c>
    </row>
    <row r="9" spans="4:13" x14ac:dyDescent="0.3">
      <c r="D9" s="57" t="s">
        <v>42</v>
      </c>
      <c r="E9" s="68">
        <v>216504</v>
      </c>
      <c r="F9" s="73">
        <v>231619.35159702599</v>
      </c>
      <c r="G9" s="72">
        <f t="shared" si="0"/>
        <v>6.5259450442309561E-2</v>
      </c>
      <c r="H9" s="82">
        <v>172733.13755468713</v>
      </c>
      <c r="I9" s="80">
        <f t="shared" si="1"/>
        <v>-0.25340165219574656</v>
      </c>
      <c r="J9" s="87">
        <v>146613.25</v>
      </c>
      <c r="K9" s="88">
        <f t="shared" si="2"/>
        <v>-0.4767014577468271</v>
      </c>
      <c r="L9" s="94">
        <v>216588</v>
      </c>
      <c r="M9" s="61">
        <f t="shared" si="3"/>
        <v>3.87833120948529E-4</v>
      </c>
    </row>
    <row r="10" spans="4:13" x14ac:dyDescent="0.3">
      <c r="D10" s="57" t="s">
        <v>43</v>
      </c>
      <c r="E10" s="68">
        <v>7212</v>
      </c>
      <c r="F10" s="73">
        <v>7725.2601346308365</v>
      </c>
      <c r="G10" s="72">
        <f t="shared" si="0"/>
        <v>6.6439204076765179E-2</v>
      </c>
      <c r="H10" s="82">
        <v>5760.6461087474363</v>
      </c>
      <c r="I10" s="80">
        <f t="shared" si="1"/>
        <v>-0.2519429008230013</v>
      </c>
      <c r="J10" s="87">
        <v>4889</v>
      </c>
      <c r="K10" s="88">
        <f t="shared" si="2"/>
        <v>-0.47514829208427078</v>
      </c>
      <c r="L10" s="94">
        <v>7224</v>
      </c>
      <c r="M10" s="61">
        <f t="shared" si="3"/>
        <v>1.6611295681063123E-3</v>
      </c>
    </row>
    <row r="11" spans="4:13" x14ac:dyDescent="0.3">
      <c r="D11" s="57" t="s">
        <v>44</v>
      </c>
      <c r="E11" s="68">
        <v>72168</v>
      </c>
      <c r="F11" s="73">
        <v>77201.405905387539</v>
      </c>
      <c r="G11" s="72">
        <f t="shared" si="0"/>
        <v>6.5198371018736587E-2</v>
      </c>
      <c r="H11" s="82">
        <v>57576.52570740955</v>
      </c>
      <c r="I11" s="80">
        <f t="shared" si="1"/>
        <v>-0.25342748825694889</v>
      </c>
      <c r="J11" s="87">
        <v>48872</v>
      </c>
      <c r="K11" s="88">
        <f t="shared" si="2"/>
        <v>-0.47667376002619088</v>
      </c>
      <c r="L11" s="94">
        <v>72192</v>
      </c>
      <c r="M11" s="61">
        <f t="shared" si="3"/>
        <v>3.3244680851063829E-4</v>
      </c>
    </row>
    <row r="12" spans="4:13" x14ac:dyDescent="0.3">
      <c r="D12" s="57" t="s">
        <v>45</v>
      </c>
      <c r="E12" s="68">
        <v>2376</v>
      </c>
      <c r="F12" s="73">
        <v>2533.0459193517268</v>
      </c>
      <c r="G12" s="72">
        <f t="shared" si="0"/>
        <v>6.1998844218315217E-2</v>
      </c>
      <c r="H12" s="82">
        <v>2374.8868364612149</v>
      </c>
      <c r="I12" s="80">
        <f t="shared" si="1"/>
        <v>-4.6872277099476925E-4</v>
      </c>
      <c r="J12" s="87">
        <v>1962</v>
      </c>
      <c r="K12" s="88">
        <f t="shared" si="2"/>
        <v>-0.21100917431192662</v>
      </c>
      <c r="L12" s="94">
        <v>2376</v>
      </c>
      <c r="M12" s="61">
        <f t="shared" si="3"/>
        <v>0</v>
      </c>
    </row>
    <row r="13" spans="4:13" x14ac:dyDescent="0.3">
      <c r="D13" s="57" t="s">
        <v>46</v>
      </c>
      <c r="E13" s="68">
        <v>8004</v>
      </c>
      <c r="F13" s="73">
        <v>8941.116495135022</v>
      </c>
      <c r="G13" s="72">
        <f t="shared" si="0"/>
        <v>0.10480978473381029</v>
      </c>
      <c r="H13" s="82">
        <v>7381.9493424727098</v>
      </c>
      <c r="I13" s="80">
        <f t="shared" si="1"/>
        <v>-8.4266448964674653E-2</v>
      </c>
      <c r="J13" s="87">
        <v>6624.75</v>
      </c>
      <c r="K13" s="88">
        <f t="shared" si="2"/>
        <v>-0.208196535718329</v>
      </c>
      <c r="L13" s="94">
        <v>8004</v>
      </c>
      <c r="M13" s="61">
        <f t="shared" si="3"/>
        <v>0</v>
      </c>
    </row>
    <row r="14" spans="4:13" x14ac:dyDescent="0.3">
      <c r="D14" s="57" t="s">
        <v>47</v>
      </c>
      <c r="E14" s="68">
        <v>15924</v>
      </c>
      <c r="F14" s="73">
        <v>16711.222680913732</v>
      </c>
      <c r="G14" s="72">
        <f t="shared" si="0"/>
        <v>4.7107425706967382E-2</v>
      </c>
      <c r="H14" s="82">
        <v>13273.077054482361</v>
      </c>
      <c r="I14" s="80">
        <f t="shared" si="1"/>
        <v>-0.19972180788496319</v>
      </c>
      <c r="J14" s="87">
        <v>11576.25</v>
      </c>
      <c r="K14" s="88">
        <f t="shared" si="2"/>
        <v>-0.37557499190152249</v>
      </c>
      <c r="L14" s="94">
        <v>15924</v>
      </c>
      <c r="M14" s="61">
        <f t="shared" si="3"/>
        <v>0</v>
      </c>
    </row>
    <row r="15" spans="4:13" x14ac:dyDescent="0.3">
      <c r="D15" s="57" t="s">
        <v>48</v>
      </c>
      <c r="E15" s="68">
        <v>13248</v>
      </c>
      <c r="F15" s="73">
        <v>13689.172515936376</v>
      </c>
      <c r="G15" s="72">
        <f t="shared" si="0"/>
        <v>3.2227843971049448E-2</v>
      </c>
      <c r="H15" s="82">
        <v>11195.437869479663</v>
      </c>
      <c r="I15" s="80">
        <f t="shared" si="1"/>
        <v>-0.18333915604282969</v>
      </c>
      <c r="J15" s="87">
        <v>9947.25</v>
      </c>
      <c r="K15" s="88">
        <f t="shared" si="2"/>
        <v>-0.33182537887355801</v>
      </c>
      <c r="L15" s="94">
        <v>13248</v>
      </c>
      <c r="M15" s="61">
        <f t="shared" si="3"/>
        <v>0</v>
      </c>
    </row>
    <row r="16" spans="4:13" x14ac:dyDescent="0.3">
      <c r="D16" s="57" t="s">
        <v>49</v>
      </c>
      <c r="E16" s="68">
        <v>2.8700000000000006</v>
      </c>
      <c r="F16" s="73">
        <v>1.4151242041288825</v>
      </c>
      <c r="G16" s="100">
        <f t="shared" si="0"/>
        <v>-1.0280905320015394</v>
      </c>
      <c r="H16" s="82">
        <v>3.9747296685623263</v>
      </c>
      <c r="I16" s="80">
        <f t="shared" si="1"/>
        <v>0.27793831547842357</v>
      </c>
      <c r="J16" s="87">
        <v>1.069375</v>
      </c>
      <c r="K16" s="88">
        <f t="shared" si="2"/>
        <v>-1.6838106370543549</v>
      </c>
      <c r="L16" s="94">
        <v>1.1200000000000003</v>
      </c>
      <c r="M16" s="61">
        <f t="shared" si="3"/>
        <v>-1.5624999999999998</v>
      </c>
    </row>
    <row r="17" spans="4:13" x14ac:dyDescent="0.3">
      <c r="D17" s="57" t="s">
        <v>50</v>
      </c>
      <c r="E17" s="68">
        <v>4.2999999999999989</v>
      </c>
      <c r="F17" s="73">
        <v>3.0941038008875155</v>
      </c>
      <c r="G17" s="100">
        <f t="shared" si="0"/>
        <v>-0.38974005938862916</v>
      </c>
      <c r="H17" s="82">
        <v>6.6184003974562788</v>
      </c>
      <c r="I17" s="80">
        <f t="shared" si="1"/>
        <v>0.35029618309997318</v>
      </c>
      <c r="J17" s="87">
        <v>2.1475</v>
      </c>
      <c r="K17" s="88">
        <f t="shared" si="2"/>
        <v>-1.0023282887077993</v>
      </c>
      <c r="L17" s="94">
        <v>2.5500000000000003</v>
      </c>
      <c r="M17" s="61">
        <f t="shared" si="3"/>
        <v>-0.68627450980392102</v>
      </c>
    </row>
    <row r="18" spans="4:13" x14ac:dyDescent="0.3">
      <c r="D18" s="57" t="s">
        <v>51</v>
      </c>
      <c r="E18" s="68">
        <v>9.2699999999999978</v>
      </c>
      <c r="F18" s="73">
        <v>8.4670931410380099</v>
      </c>
      <c r="G18" s="72">
        <f t="shared" si="0"/>
        <v>-9.4826742258271271E-2</v>
      </c>
      <c r="H18" s="82">
        <v>7.1938365760736627</v>
      </c>
      <c r="I18" s="80">
        <f t="shared" si="1"/>
        <v>-0.28860308431686504</v>
      </c>
      <c r="J18" s="87">
        <v>3.7756250000000007</v>
      </c>
      <c r="K18" s="88">
        <f t="shared" si="2"/>
        <v>-1.4552226452574066</v>
      </c>
      <c r="L18" s="94">
        <v>7.5199999999999969</v>
      </c>
      <c r="M18" s="61">
        <f t="shared" si="3"/>
        <v>-0.23271276595744703</v>
      </c>
    </row>
    <row r="19" spans="4:13" x14ac:dyDescent="0.3">
      <c r="D19" s="57" t="s">
        <v>52</v>
      </c>
      <c r="E19" s="68">
        <v>24.490000000000006</v>
      </c>
      <c r="F19" s="73">
        <v>25.126643112097238</v>
      </c>
      <c r="G19" s="72">
        <f t="shared" si="0"/>
        <v>2.5337372336486922E-2</v>
      </c>
      <c r="H19" s="82">
        <v>19.537973586631331</v>
      </c>
      <c r="I19" s="80">
        <f t="shared" si="1"/>
        <v>-0.25345650056344893</v>
      </c>
      <c r="J19" s="90">
        <v>13.664791666666666</v>
      </c>
      <c r="K19" s="88">
        <f t="shared" si="2"/>
        <v>-0.7921971002119198</v>
      </c>
      <c r="L19" s="94">
        <v>22.740000000000006</v>
      </c>
      <c r="M19" s="61">
        <f t="shared" si="3"/>
        <v>-7.6956904133685111E-2</v>
      </c>
    </row>
    <row r="20" spans="4:13" x14ac:dyDescent="0.3">
      <c r="D20" s="57" t="s">
        <v>53</v>
      </c>
      <c r="E20" s="68">
        <v>15.800000000000002</v>
      </c>
      <c r="F20" s="73">
        <v>15.692742378931122</v>
      </c>
      <c r="G20" s="72">
        <f t="shared" si="0"/>
        <v>-6.8348551501669465E-3</v>
      </c>
      <c r="H20" s="82">
        <v>11.907502405098368</v>
      </c>
      <c r="I20" s="80">
        <f t="shared" si="1"/>
        <v>-0.32689454618417757</v>
      </c>
      <c r="J20" s="87">
        <v>6.6056249999999999</v>
      </c>
      <c r="K20" s="88">
        <f t="shared" si="2"/>
        <v>-1.3919008420853443</v>
      </c>
      <c r="L20" s="94">
        <v>14.050000000000002</v>
      </c>
      <c r="M20" s="61">
        <f t="shared" si="3"/>
        <v>-0.12455516014234873</v>
      </c>
    </row>
    <row r="21" spans="4:13" x14ac:dyDescent="0.3">
      <c r="D21" s="57" t="s">
        <v>54</v>
      </c>
      <c r="E21" s="68">
        <v>18.559999999999999</v>
      </c>
      <c r="F21" s="73">
        <v>17.377317248457114</v>
      </c>
      <c r="G21" s="72">
        <f t="shared" si="0"/>
        <v>-6.8058995219638513E-2</v>
      </c>
      <c r="H21" s="82">
        <v>14.148549750259871</v>
      </c>
      <c r="I21" s="80">
        <f t="shared" si="1"/>
        <v>-0.31179522478331045</v>
      </c>
      <c r="J21" s="87">
        <v>12.57833333333333</v>
      </c>
      <c r="K21" s="88">
        <f t="shared" si="2"/>
        <v>-0.47555319994699913</v>
      </c>
      <c r="L21" s="94">
        <v>16.599999999999998</v>
      </c>
      <c r="M21" s="61">
        <f t="shared" si="3"/>
        <v>-0.11807228915662657</v>
      </c>
    </row>
    <row r="22" spans="4:13" x14ac:dyDescent="0.3">
      <c r="D22" s="57" t="s">
        <v>55</v>
      </c>
      <c r="E22" s="68">
        <v>11.340000000000002</v>
      </c>
      <c r="F22" s="73">
        <v>9.8340072741850921</v>
      </c>
      <c r="G22" s="72">
        <f t="shared" si="0"/>
        <v>-0.15314130687784197</v>
      </c>
      <c r="H22" s="82">
        <v>7.214091746676905</v>
      </c>
      <c r="I22" s="80">
        <f t="shared" si="1"/>
        <v>-0.57192345179469783</v>
      </c>
      <c r="J22" s="87">
        <v>5.7554166666666671</v>
      </c>
      <c r="K22" s="88">
        <f t="shared" si="2"/>
        <v>-0.97031781654962734</v>
      </c>
      <c r="L22" s="94">
        <v>9.379999999999999</v>
      </c>
      <c r="M22" s="61">
        <f t="shared" si="3"/>
        <v>-0.20895522388059731</v>
      </c>
    </row>
    <row r="23" spans="4:13" ht="15" thickBot="1" x14ac:dyDescent="0.35">
      <c r="D23" s="62" t="s">
        <v>56</v>
      </c>
      <c r="E23" s="69">
        <v>23.079999999999995</v>
      </c>
      <c r="F23" s="74">
        <v>23.723622178275125</v>
      </c>
      <c r="G23" s="75">
        <f t="shared" si="0"/>
        <v>2.7130013007226464E-2</v>
      </c>
      <c r="H23" s="83">
        <v>17.273030382179236</v>
      </c>
      <c r="I23" s="84">
        <f t="shared" si="1"/>
        <v>-0.33618707831440331</v>
      </c>
      <c r="J23" s="91">
        <v>9.9422916666666659</v>
      </c>
      <c r="K23" s="92">
        <f t="shared" si="2"/>
        <v>-1.3213963916769689</v>
      </c>
      <c r="L23" s="96">
        <v>21.329999999999995</v>
      </c>
      <c r="M23" s="63">
        <f t="shared" si="3"/>
        <v>-8.2044069385841564E-2</v>
      </c>
    </row>
    <row r="24" spans="4:13" ht="15" thickBot="1" x14ac:dyDescent="0.35">
      <c r="E24" s="113" t="s">
        <v>38</v>
      </c>
      <c r="F24" s="114"/>
      <c r="G24" s="97">
        <f>AVERAGE(G7:G23)</f>
        <v>-9.9114317503491797E-2</v>
      </c>
      <c r="I24" s="98">
        <f>AVERAGE(I7:I23)</f>
        <v>-0.12865920523296767</v>
      </c>
      <c r="K24" s="99">
        <f>AVERAGE(K7:K23)</f>
        <v>-0.67289891724685513</v>
      </c>
      <c r="M24" s="98">
        <f>AVERAGE(M7:M23)</f>
        <v>-0.13111071909287669</v>
      </c>
    </row>
    <row r="28" spans="4:13" x14ac:dyDescent="0.3">
      <c r="D28" s="64"/>
      <c r="F28" s="19"/>
    </row>
    <row r="30" spans="4:13" x14ac:dyDescent="0.3">
      <c r="D30" s="64"/>
    </row>
    <row r="31" spans="4:13" x14ac:dyDescent="0.3">
      <c r="F31" s="19"/>
    </row>
    <row r="33" spans="4:6" x14ac:dyDescent="0.3">
      <c r="D33" s="64"/>
    </row>
    <row r="34" spans="4:6" x14ac:dyDescent="0.3">
      <c r="F34" s="19"/>
    </row>
    <row r="37" spans="4:6" x14ac:dyDescent="0.3">
      <c r="F37" s="19"/>
    </row>
    <row r="38" spans="4:6" x14ac:dyDescent="0.3">
      <c r="D38" s="64"/>
    </row>
    <row r="39" spans="4:6" x14ac:dyDescent="0.3">
      <c r="D39" s="65"/>
    </row>
    <row r="40" spans="4:6" x14ac:dyDescent="0.3">
      <c r="D40" s="66"/>
    </row>
    <row r="41" spans="4:6" x14ac:dyDescent="0.3">
      <c r="D41" s="66"/>
    </row>
    <row r="42" spans="4:6" x14ac:dyDescent="0.3">
      <c r="D42" s="66"/>
    </row>
    <row r="46" spans="4:6" x14ac:dyDescent="0.3">
      <c r="D46" s="64"/>
    </row>
  </sheetData>
  <mergeCells count="1">
    <mergeCell ref="E24:F24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38261AE4DDDA934C8BE5D778425C8D6E" ma:contentTypeVersion="6" ma:contentTypeDescription="Új dokumentum létrehozása." ma:contentTypeScope="" ma:versionID="f39e41e5b55e50ecba6be354902ff870">
  <xsd:schema xmlns:xsd="http://www.w3.org/2001/XMLSchema" xmlns:xs="http://www.w3.org/2001/XMLSchema" xmlns:p="http://schemas.microsoft.com/office/2006/metadata/properties" xmlns:ns3="53c10d4f-fab0-4ff5-a1dc-471f8ae484ab" targetNamespace="http://schemas.microsoft.com/office/2006/metadata/properties" ma:root="true" ma:fieldsID="f1e7e425a53bc06c34602822a0df4058" ns3:_="">
    <xsd:import namespace="53c10d4f-fab0-4ff5-a1dc-471f8ae484a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c10d4f-fab0-4ff5-a1dc-471f8ae484a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c10d4f-fab0-4ff5-a1dc-471f8ae484ab" xsi:nil="true"/>
  </documentManagement>
</p:properties>
</file>

<file path=customXml/itemProps1.xml><?xml version="1.0" encoding="utf-8"?>
<ds:datastoreItem xmlns:ds="http://schemas.openxmlformats.org/officeDocument/2006/customXml" ds:itemID="{AA5ACB8D-E23B-4D00-8EAD-8D48622818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c10d4f-fab0-4ff5-a1dc-471f8ae484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0D7D36-2BC7-4F2C-BF28-EFE221DF3D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9CCA20-3AC9-4C32-B4E2-32581AB6C9B5}">
  <ds:schemaRefs>
    <ds:schemaRef ds:uri="http://schemas.microsoft.com/office/2006/documentManagement/types"/>
    <ds:schemaRef ds:uri="http://purl.org/dc/elements/1.1/"/>
    <ds:schemaRef ds:uri="53c10d4f-fab0-4ff5-a1dc-471f8ae484ab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Fees</vt:lpstr>
      <vt:lpstr>Calculator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Laszlo Bordy</dc:creator>
  <cp:lastModifiedBy>László Szabó</cp:lastModifiedBy>
  <dcterms:created xsi:type="dcterms:W3CDTF">2019-05-07T06:44:07Z</dcterms:created>
  <dcterms:modified xsi:type="dcterms:W3CDTF">2025-04-30T11:26:24Z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0x01010038261AE4DDDA934C8BE5D778425C8D6E</vt:lpwstr>
  </property>
</Properties>
</file>